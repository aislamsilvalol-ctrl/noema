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Preços API" sheetId="3" state="visible" r:id="rId3"/>
    <sheet name="Custo por operação" sheetId="4" state="visible" r:id="rId4"/>
    <sheet name="Perfis" sheetId="5" state="visible" r:id="rId5"/>
    <sheet name="Planos" sheetId="6" state="visible" r:id="rId6"/>
    <sheet name="CAC" sheetId="7" state="visible" r:id="rId7"/>
    <sheet name="Free bur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%"/>
    <numFmt numFmtId="166" formatCode="&quot;R$&quot; #,##0.00"/>
    <numFmt numFmtId="167" formatCode="0.000"/>
    <numFmt numFmtId="168" formatCode="0.0"/>
    <numFmt numFmtId="169" formatCode="&quot;US$&quot; #,##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</font>
    <font>
      <color rgb="001F4E9E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8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2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0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167" fontId="4" fillId="3" borderId="1" pivotButton="0" quotePrefix="0" xfId="0"/>
    <xf numFmtId="0" fontId="3" fillId="0" borderId="1" pivotButton="0" quotePrefix="0" xfId="0"/>
    <xf numFmtId="10" fontId="0" fillId="0" borderId="1" pivotButton="0" quotePrefix="0" xfId="0"/>
    <xf numFmtId="3" fontId="4" fillId="3" borderId="1" pivotButton="0" quotePrefix="0" xfId="0"/>
    <xf numFmtId="167" fontId="3" fillId="4" borderId="1" pivotButton="0" quotePrefix="0" xfId="0"/>
    <xf numFmtId="167" fontId="5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8" fontId="0" fillId="0" borderId="1" pivotButton="0" quotePrefix="0" xfId="0"/>
    <xf numFmtId="2" fontId="0" fillId="0" borderId="1" pivotButton="0" quotePrefix="0" xfId="0"/>
    <xf numFmtId="166" fontId="3" fillId="4" borderId="1" pivotButton="0" quotePrefix="0" xfId="0"/>
    <xf numFmtId="166" fontId="5" fillId="0" borderId="1" pivotButton="0" quotePrefix="0" xfId="0"/>
    <xf numFmtId="169" fontId="0" fillId="0" borderId="1" pivotButton="0" quotePrefix="0" xfId="0"/>
    <xf numFmtId="3" fontId="0" fillId="0" borderId="1" pivotButton="0" quotePrefix="0" xfId="0"/>
    <xf numFmtId="165" fontId="3" fillId="4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NOEMA: economia unitária (2026-10-19)</t>
        </is>
      </c>
    </row>
    <row r="3">
      <c r="A3" t="inlineStr">
        <is>
          <t>Fontes: docs/pricing/PRICING_AUDIT.md, market-2026-10-19.md, usage-audit-2026-10-19.md.</t>
        </is>
      </c>
    </row>
    <row r="4">
      <c r="A4" t="inlineStr">
        <is>
          <t>Regenerar: uv run --with openpyxl python scripts/pricing/build_unit_economics.py</t>
        </is>
      </c>
    </row>
    <row r="5">
      <c r="A5" t="inlineStr"/>
    </row>
    <row r="6">
      <c r="A6" t="inlineStr">
        <is>
          <t>Legenda:</t>
        </is>
      </c>
    </row>
    <row r="7">
      <c r="A7" s="2" t="inlineStr">
        <is>
          <t>entrada editável</t>
        </is>
      </c>
      <c r="B7" t="inlineStr">
        <is>
          <t>fonte azul, fundo amarelo: edite e tudo recalcula</t>
        </is>
      </c>
    </row>
    <row r="8">
      <c r="A8" s="3" t="inlineStr">
        <is>
          <t>resultado-chave</t>
        </is>
      </c>
      <c r="B8" t="inlineStr">
        <is>
          <t>fundo verde: saída principal da aba</t>
        </is>
      </c>
    </row>
    <row r="9">
      <c r="A9" s="4" t="inlineStr">
        <is>
          <t>auditoria</t>
        </is>
      </c>
      <c r="B9" t="inlineStr">
        <is>
          <t>cinza itálico: valor da auditoria, só para comparar</t>
        </is>
      </c>
    </row>
    <row r="11">
      <c r="A11" s="5" t="inlineStr">
        <is>
          <t>Resultados-chave</t>
        </is>
      </c>
    </row>
    <row r="12">
      <c r="A12" s="6" t="inlineStr">
        <is>
          <t>Métrica</t>
        </is>
      </c>
      <c r="B12" s="6" t="inlineStr">
        <is>
          <t>Conservador</t>
        </is>
      </c>
      <c r="C12" s="6" t="inlineStr">
        <is>
          <t>Otimizado</t>
        </is>
      </c>
    </row>
    <row r="13">
      <c r="A13" s="7" t="inlineStr">
        <is>
          <t>Custo por troca (US¢)</t>
        </is>
      </c>
      <c r="B13" s="8">
        <f>'Custo por operação'!$C$22</f>
        <v/>
      </c>
      <c r="C13" s="8">
        <f>'Custo por operação'!$D$22</f>
        <v/>
      </c>
    </row>
    <row r="14">
      <c r="A14" s="7" t="inlineStr">
        <is>
          <t>Aula de 10 trocas (US¢)</t>
        </is>
      </c>
      <c r="B14" s="8">
        <f>'Custo por operação'!$D$55</f>
        <v/>
      </c>
      <c r="C14" s="8">
        <f>'Custo por operação'!$E$55</f>
        <v/>
      </c>
    </row>
    <row r="15">
      <c r="A15" s="7" t="inlineStr">
        <is>
          <t>Margem bruta Plus</t>
        </is>
      </c>
      <c r="B15" s="9">
        <f>'Planos'!$D$27</f>
        <v/>
      </c>
      <c r="C15" s="9">
        <f>'Planos'!$D$28</f>
        <v/>
      </c>
    </row>
    <row r="16">
      <c r="A16" s="7" t="inlineStr">
        <is>
          <t>Margem bruta Pro</t>
        </is>
      </c>
      <c r="B16" s="9">
        <f>'Planos'!$E$27</f>
        <v/>
      </c>
      <c r="C16" s="9">
        <f>'Planos'!$E$28</f>
        <v/>
      </c>
    </row>
    <row r="17">
      <c r="A17" s="7" t="inlineStr">
        <is>
          <t>Margem bruta no mix 80/20</t>
        </is>
      </c>
      <c r="B17" s="9">
        <f>'Planos'!$D$29</f>
        <v/>
      </c>
      <c r="C17" s="9">
        <f>'Planos'!$D$30</f>
        <v/>
      </c>
    </row>
    <row r="18">
      <c r="A18" s="7" t="inlineStr">
        <is>
          <t>LTV em lucro bruto (R$)</t>
        </is>
      </c>
      <c r="B18" s="10">
        <f>'CAC'!$C$8</f>
        <v/>
      </c>
    </row>
    <row r="19">
      <c r="A19" s="7" t="inlineStr">
        <is>
          <t>CAC-alvo (R$)</t>
        </is>
      </c>
      <c r="B19" s="10">
        <f>'CAC'!$C$9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4" customWidth="1" min="3" max="3"/>
    <col width="60" customWidth="1" min="4" max="4"/>
  </cols>
  <sheetData>
    <row r="1">
      <c r="A1" s="1" t="inlineStr">
        <is>
          <t>Premissas</t>
        </is>
      </c>
    </row>
    <row r="2">
      <c r="A2" s="11" t="inlineStr">
        <is>
          <t>Células azuis sobre fundo amarelo são entradas. Edite-as; o resto recalcula.</t>
        </is>
      </c>
    </row>
    <row r="4">
      <c r="A4" s="6" t="inlineStr"/>
      <c r="B4" s="6" t="inlineStr">
        <is>
          <t>Premissa</t>
        </is>
      </c>
      <c r="C4" s="6" t="inlineStr">
        <is>
          <t>Valor</t>
        </is>
      </c>
      <c r="D4" s="6" t="inlineStr">
        <is>
          <t>Fonte / nota</t>
        </is>
      </c>
    </row>
    <row r="5">
      <c r="B5" s="7" t="inlineStr">
        <is>
          <t>Câmbio de planejamento (R$ por US$)</t>
        </is>
      </c>
      <c r="C5" s="12" t="n">
        <v>5.65</v>
      </c>
      <c r="D5" s="11" t="inlineStr">
        <is>
          <t>PRICING_AUDIT: PTAX + ~12% de buffer</t>
        </is>
      </c>
    </row>
    <row r="6">
      <c r="B6" s="7" t="inlineStr">
        <is>
          <t>PTAX venda em 19/10/2026</t>
        </is>
      </c>
      <c r="C6" s="13" t="n">
        <v>5.0564</v>
      </c>
      <c r="D6" s="11" t="inlineStr">
        <is>
          <t>market-2026-10-19 §3 (BCB)</t>
        </is>
      </c>
    </row>
    <row r="7">
      <c r="B7" s="7" t="inlineStr">
        <is>
          <t>Imposto sobre a receita</t>
        </is>
      </c>
      <c r="C7" s="14" t="n">
        <v>0.06</v>
      </c>
      <c r="D7" s="11" t="inlineStr">
        <is>
          <t>PRICING_AUDIT, risco 6: regime ainda indefinido</t>
        </is>
      </c>
    </row>
    <row r="8">
      <c r="B8" s="7" t="inlineStr">
        <is>
          <t>Gateway: cartão (Stripe BR)</t>
        </is>
      </c>
      <c r="C8" s="15" t="n">
        <v>0.0399</v>
      </c>
      <c r="D8" s="11" t="inlineStr">
        <is>
          <t>market §4: 3,99% + R$ 0,39</t>
        </is>
      </c>
    </row>
    <row r="9">
      <c r="B9" s="7" t="inlineStr">
        <is>
          <t>Gateway: fixo por cobrança (R$)</t>
        </is>
      </c>
      <c r="C9" s="16" t="n">
        <v>0.39</v>
      </c>
      <c r="D9" s="11" t="inlineStr">
        <is>
          <t>market §4</t>
        </is>
      </c>
    </row>
    <row r="10">
      <c r="B10" s="7" t="inlineStr">
        <is>
          <t>Gateway: Stripe Billing (% do volume)</t>
        </is>
      </c>
      <c r="C10" s="15" t="n">
        <v>0.007</v>
      </c>
      <c r="D10" s="11" t="inlineStr">
        <is>
          <t>market §4</t>
        </is>
      </c>
    </row>
    <row r="11">
      <c r="B11" s="7" t="inlineStr">
        <is>
          <t>Reembolsos (% da receita)</t>
        </is>
      </c>
      <c r="C11" s="14" t="n">
        <v>0.02</v>
      </c>
      <c r="D11" s="11" t="inlineStr">
        <is>
          <t>PRICING_AUDIT, tetos de CAC</t>
        </is>
      </c>
    </row>
    <row r="12">
      <c r="B12" s="7" t="inlineStr">
        <is>
          <t>Churn mensal</t>
        </is>
      </c>
      <c r="C12" s="14" t="n">
        <v>0.1</v>
      </c>
      <c r="D12" s="11" t="inlineStr">
        <is>
          <t>PRICING_AUDIT, caso base</t>
        </is>
      </c>
    </row>
    <row r="13">
      <c r="B13" s="7" t="inlineStr">
        <is>
          <t>Conversão cadastro → pagante</t>
        </is>
      </c>
      <c r="C13" s="14" t="n">
        <v>0.03</v>
      </c>
      <c r="D13" s="11" t="inlineStr">
        <is>
          <t>PRICING_AUDIT (instável até dados reais)</t>
        </is>
      </c>
    </row>
    <row r="14">
      <c r="B14" s="7" t="inlineStr">
        <is>
          <t>LTV:CAC alvo</t>
        </is>
      </c>
      <c r="C14" s="17" t="n">
        <v>3</v>
      </c>
      <c r="D14" s="11" t="inlineStr">
        <is>
          <t>PRICING_AUDIT</t>
        </is>
      </c>
    </row>
    <row r="15">
      <c r="B15" s="7" t="inlineStr">
        <is>
          <t>Payback do CAC (meses)</t>
        </is>
      </c>
      <c r="C15" s="17" t="n">
        <v>3</v>
      </c>
      <c r="D15" s="11" t="inlineStr">
        <is>
          <t>PRICING_AUDIT</t>
        </is>
      </c>
    </row>
    <row r="16">
      <c r="B16" s="7" t="inlineStr">
        <is>
          <t>Margem bruta do caso base (para o CAC)</t>
        </is>
      </c>
      <c r="C16" s="14" t="n">
        <v>0.7</v>
      </c>
      <c r="D16" s="11" t="inlineStr">
        <is>
          <t>PRICING_AUDIT: 'alvo realista pós-otimização'</t>
        </is>
      </c>
    </row>
    <row r="17">
      <c r="B17" s="7" t="inlineStr">
        <is>
          <t>Mix de pagantes: Plus</t>
        </is>
      </c>
      <c r="C17" s="14" t="n">
        <v>0.8</v>
      </c>
      <c r="D17" s="11" t="inlineStr">
        <is>
          <t>PRICING_AUDIT, tetos de CAC</t>
        </is>
      </c>
    </row>
    <row r="18">
      <c r="B18" s="7" t="inlineStr">
        <is>
          <t>Mix de pagantes: Pro</t>
        </is>
      </c>
      <c r="C18" s="14" t="n">
        <v>0.2</v>
      </c>
      <c r="D18" s="11" t="inlineStr">
        <is>
          <t>PRICING_AUDIT, tetos de CAC</t>
        </is>
      </c>
    </row>
    <row r="19">
      <c r="B19" s="7" t="inlineStr">
        <is>
          <t>Trocas por aula</t>
        </is>
      </c>
      <c r="C19" s="17" t="n">
        <v>10</v>
      </c>
      <c r="D19" s="11" t="inlineStr">
        <is>
          <t>PRICING_AUDIT: 'aula de 10 trocas' (até ~12)</t>
        </is>
      </c>
    </row>
    <row r="20">
      <c r="B20" s="7" t="inlineStr">
        <is>
          <t>1 crédito interno = US$ de custo de lista</t>
        </is>
      </c>
      <c r="C20" s="18" t="n">
        <v>0.001</v>
      </c>
      <c r="D20" s="11" t="inlineStr">
        <is>
          <t>PRICING_AUDIT, limites internos</t>
        </is>
      </c>
    </row>
    <row r="21">
      <c r="B21" s="7" t="inlineStr">
        <is>
          <t>Classificador de rota: % das trocas em que roda</t>
        </is>
      </c>
      <c r="C21" s="14" t="n">
        <v>0.35</v>
      </c>
      <c r="D21" s="11" t="inlineStr">
        <is>
          <t>usage-audit A3: ~35%</t>
        </is>
      </c>
    </row>
    <row r="22">
      <c r="B22" s="7" t="inlineStr">
        <is>
          <t>Desconto batch (ingestão de PDF)</t>
        </is>
      </c>
      <c r="C22" s="14" t="n">
        <v>0.5</v>
      </c>
      <c r="D22" s="11" t="inlineStr">
        <is>
          <t>market §1: batch = 50% nos dois provedores</t>
        </is>
      </c>
    </row>
    <row r="23">
      <c r="B23" s="19" t="inlineStr">
        <is>
          <t>Deduções sobre a receita (imposto + reembolsos + gateway %)</t>
        </is>
      </c>
      <c r="C23" s="20">
        <f>'Premissas'!$C$7+'Premissas'!$C$11+'Premissas'!$C$8+'Premissas'!$C$10</f>
        <v/>
      </c>
      <c r="D23" s="11" t="inlineStr">
        <is>
          <t>Receita líquida = preço × (1 − deduções) − fixo do gateway</t>
        </is>
      </c>
    </row>
    <row r="24">
      <c r="B24" s="19" t="inlineStr">
        <is>
          <t>Verificação: mix Plus + Pro</t>
        </is>
      </c>
      <c r="C24" s="9">
        <f>'Premissas'!$C$17+'Premissas'!$C$18</f>
        <v/>
      </c>
      <c r="D24" s="11" t="inlineStr">
        <is>
          <t>Deve dar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4" customWidth="1" min="4" max="4"/>
    <col width="18" customWidth="1" min="5" max="5"/>
    <col width="10" customWidth="1" min="6" max="6"/>
    <col width="58" customWidth="1" min="7" max="7"/>
    <col width="12" customWidth="1" min="8" max="8"/>
    <col width="50" customWidth="1" min="9" max="9"/>
  </cols>
  <sheetData>
    <row r="1">
      <c r="A1" s="1" t="inlineStr">
        <is>
          <t>Preços oficiais das APIs (US$ por 1M tokens)</t>
        </is>
      </c>
    </row>
    <row r="2">
      <c r="A2" s="11" t="inlineStr">
        <is>
          <t>Consultados em 2026-10-19 nas páginas dos provedores (market-2026-10-19.md §1). Batch = 50% de desconto; residência de dados = +10%.</t>
        </is>
      </c>
    </row>
    <row r="4">
      <c r="A4" s="6" t="inlineStr">
        <is>
          <t>Provedor</t>
        </is>
      </c>
      <c r="B4" s="6" t="inlineStr">
        <is>
          <t>Modelo</t>
        </is>
      </c>
      <c r="C4" s="6" t="inlineStr">
        <is>
          <t>Input</t>
        </is>
      </c>
      <c r="D4" s="6" t="inlineStr">
        <is>
          <t>Cache (leitura)</t>
        </is>
      </c>
      <c r="E4" s="6" t="inlineStr">
        <is>
          <t>Cache (escrita, 5 min)</t>
        </is>
      </c>
      <c r="F4" s="6" t="inlineStr">
        <is>
          <t>Output</t>
        </is>
      </c>
      <c r="G4" s="6" t="inlineStr">
        <is>
          <t>Fonte</t>
        </is>
      </c>
      <c r="H4" s="6" t="inlineStr">
        <is>
          <t>Data</t>
        </is>
      </c>
      <c r="I4" s="6" t="inlineStr">
        <is>
          <t>Observação</t>
        </is>
      </c>
    </row>
    <row r="5">
      <c r="A5" s="7" t="inlineStr">
        <is>
          <t>Anthropic</t>
        </is>
      </c>
      <c r="B5" s="19" t="inlineStr">
        <is>
          <t>Haiku 5.5</t>
        </is>
      </c>
      <c r="C5" s="18" t="n">
        <v>0.1</v>
      </c>
      <c r="D5" s="18" t="n">
        <v>0.01</v>
      </c>
      <c r="E5" s="18" t="n">
        <v>0.125</v>
      </c>
      <c r="F5" s="18" t="n">
        <v>0.5</v>
      </c>
      <c r="G5" s="7" t="inlineStr">
        <is>
          <t>https://platform.claude.com/docs/en/about-claude/pricing</t>
        </is>
      </c>
      <c r="H5" s="7" t="inlineStr">
        <is>
          <t>2026-10-19</t>
        </is>
      </c>
      <c r="I5" s="7" t="inlineStr">
        <is>
          <t>Prompt até 100K; acima: 0,50 / 0,05 / 2,50</t>
        </is>
      </c>
    </row>
    <row r="6">
      <c r="A6" s="7" t="inlineStr">
        <is>
          <t>Anthropic</t>
        </is>
      </c>
      <c r="B6" s="19" t="inlineStr">
        <is>
          <t>Sonnet 5.5</t>
        </is>
      </c>
      <c r="C6" s="18" t="n">
        <v>2</v>
      </c>
      <c r="D6" s="18" t="n">
        <v>0.1</v>
      </c>
      <c r="E6" s="18" t="n">
        <v>2.5</v>
      </c>
      <c r="F6" s="18" t="n">
        <v>10</v>
      </c>
      <c r="G6" s="7" t="inlineStr">
        <is>
          <t>https://platform.claude.com/docs/en/about-claude/pricing</t>
        </is>
      </c>
      <c r="H6" s="7" t="inlineStr">
        <is>
          <t>2026-10-19</t>
        </is>
      </c>
      <c r="I6" s="7" t="inlineStr">
        <is>
          <t>Leitura de cache 0,05× o input</t>
        </is>
      </c>
    </row>
    <row r="7">
      <c r="A7" s="7" t="inlineStr">
        <is>
          <t>Anthropic</t>
        </is>
      </c>
      <c r="B7" s="19" t="inlineStr">
        <is>
          <t>Opus 5.5</t>
        </is>
      </c>
      <c r="C7" s="18" t="n">
        <v>4</v>
      </c>
      <c r="D7" s="18" t="n">
        <v>0.2</v>
      </c>
      <c r="E7" s="18" t="n">
        <v>5</v>
      </c>
      <c r="F7" s="18" t="n">
        <v>20</v>
      </c>
      <c r="G7" s="7" t="inlineStr">
        <is>
          <t>https://platform.claude.com/docs/en/about-claude/pricing</t>
        </is>
      </c>
      <c r="H7" s="7" t="inlineStr">
        <is>
          <t>2026-10-19</t>
        </is>
      </c>
      <c r="I7" s="7" t="inlineStr">
        <is>
          <t>Leitura de cache 0,05× o input</t>
        </is>
      </c>
    </row>
    <row r="8">
      <c r="A8" s="7" t="inlineStr">
        <is>
          <t>OpenAI</t>
        </is>
      </c>
      <c r="B8" s="19" t="inlineStr">
        <is>
          <t>GPT-5.6 Luna</t>
        </is>
      </c>
      <c r="C8" s="18" t="n">
        <v>0.2</v>
      </c>
      <c r="D8" s="18" t="n">
        <v>0.02</v>
      </c>
      <c r="E8" s="18" t="n">
        <v>0.25</v>
      </c>
      <c r="F8" s="18" t="n">
        <v>1.2</v>
      </c>
      <c r="G8" s="7" t="inlineStr">
        <is>
          <t>https://developers.openai.com/api/docs/pricing</t>
        </is>
      </c>
      <c r="H8" s="7" t="inlineStr">
        <is>
          <t>2026-10-19</t>
        </is>
      </c>
      <c r="I8" s="7" t="inlineStr">
        <is>
          <t>Substituto do gpt-4.1-nano</t>
        </is>
      </c>
    </row>
    <row r="9">
      <c r="A9" s="7" t="inlineStr">
        <is>
          <t>OpenAI</t>
        </is>
      </c>
      <c r="B9" s="19" t="inlineStr">
        <is>
          <t>GPT-5.6 Terra</t>
        </is>
      </c>
      <c r="C9" s="18" t="n">
        <v>2</v>
      </c>
      <c r="D9" s="18" t="n">
        <v>0.2</v>
      </c>
      <c r="E9" s="18" t="n">
        <v>2.5</v>
      </c>
      <c r="F9" s="18" t="n">
        <v>12</v>
      </c>
      <c r="G9" s="7" t="inlineStr">
        <is>
          <t>https://developers.openai.com/api/docs/pricing</t>
        </is>
      </c>
      <c r="H9" s="7" t="inlineStr">
        <is>
          <t>2026-10-19</t>
        </is>
      </c>
      <c r="I9" s="7" t="inlineStr"/>
    </row>
    <row r="10">
      <c r="A10" s="7" t="inlineStr">
        <is>
          <t>OpenAI</t>
        </is>
      </c>
      <c r="B10" s="19" t="inlineStr">
        <is>
          <t>GPT-5.6 Sol</t>
        </is>
      </c>
      <c r="C10" s="18" t="n">
        <v>4</v>
      </c>
      <c r="D10" s="18" t="n">
        <v>0.4</v>
      </c>
      <c r="E10" s="18" t="n">
        <v>5</v>
      </c>
      <c r="F10" s="18" t="n">
        <v>20</v>
      </c>
      <c r="G10" s="7" t="inlineStr">
        <is>
          <t>https://developers.openai.com/api/docs/pricing</t>
        </is>
      </c>
      <c r="H10" s="7" t="inlineStr">
        <is>
          <t>2026-10-19</t>
        </is>
      </c>
      <c r="I10" s="7" t="inlineStr">
        <is>
          <t>Acima de 272K de input: 2× input, 1,5× output</t>
        </is>
      </c>
    </row>
    <row r="11">
      <c r="A11" s="7" t="inlineStr">
        <is>
          <t>OpenAI</t>
        </is>
      </c>
      <c r="B11" s="19" t="inlineStr">
        <is>
          <t>gpt-4.1</t>
        </is>
      </c>
      <c r="C11" s="18" t="n">
        <v>2</v>
      </c>
      <c r="D11" s="18" t="n">
        <v>0.5</v>
      </c>
      <c r="E11" s="18" t="n">
        <v>2</v>
      </c>
      <c r="F11" s="18" t="n">
        <v>8</v>
      </c>
      <c r="G11" s="7" t="inlineStr">
        <is>
          <t>https://developers.openai.com/api/docs/pricing</t>
        </is>
      </c>
      <c r="H11" s="7" t="inlineStr">
        <is>
          <t>2026-10-19</t>
        </is>
      </c>
      <c r="I11" s="7" t="inlineStr">
        <is>
          <t>Sai em 14/01/2027. Sem sobretaxa de escrita de cache</t>
        </is>
      </c>
    </row>
    <row r="12">
      <c r="A12" s="7" t="inlineStr">
        <is>
          <t>OpenAI</t>
        </is>
      </c>
      <c r="B12" s="19" t="inlineStr">
        <is>
          <t>gpt-4.1-mini</t>
        </is>
      </c>
      <c r="C12" s="18" t="n">
        <v>0.4</v>
      </c>
      <c r="D12" s="18" t="n">
        <v>0.1</v>
      </c>
      <c r="E12" s="18" t="n">
        <v>0.4</v>
      </c>
      <c r="F12" s="18" t="n">
        <v>1.6</v>
      </c>
      <c r="G12" s="7" t="inlineStr">
        <is>
          <t>https://developers.openai.com/api/docs/pricing</t>
        </is>
      </c>
      <c r="H12" s="7" t="inlineStr">
        <is>
          <t>2026-10-19</t>
        </is>
      </c>
      <c r="I12" s="7" t="inlineStr">
        <is>
          <t>Sai em 14/01/2027. Sem sobretaxa de escrita de cache</t>
        </is>
      </c>
    </row>
    <row r="13">
      <c r="A13" s="7" t="inlineStr">
        <is>
          <t>OpenAI</t>
        </is>
      </c>
      <c r="B13" s="19" t="inlineStr">
        <is>
          <t>text-embedding-3-small</t>
        </is>
      </c>
      <c r="C13" s="18" t="n">
        <v>0.02</v>
      </c>
      <c r="D13" s="18" t="n">
        <v>0</v>
      </c>
      <c r="E13" s="18" t="n">
        <v>0</v>
      </c>
      <c r="F13" s="18" t="n">
        <v>0</v>
      </c>
      <c r="G13" s="7" t="inlineStr">
        <is>
          <t>https://developers.openai.com/api/docs/pricing</t>
        </is>
      </c>
      <c r="H13" s="7" t="inlineStr">
        <is>
          <t>2026-10-19</t>
        </is>
      </c>
      <c r="I13" s="7" t="inlineStr">
        <is>
          <t>Só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" customWidth="1" min="15" max="15"/>
  </cols>
  <sheetData>
    <row r="1">
      <c r="A1" s="1" t="inlineStr">
        <is>
          <t>Custo por operação (US¢ por chamada, preço de lista)</t>
        </is>
      </c>
    </row>
    <row r="2">
      <c r="A2" s="11" t="inlineStr">
        <is>
          <t>custo = (input novo × p_in + cache × p_cache + escrita × p_escrita + output × p_out) ÷ 1e6 × 100</t>
        </is>
      </c>
    </row>
    <row r="4">
      <c r="B4" s="6" t="inlineStr">
        <is>
          <t>Operação</t>
        </is>
      </c>
      <c r="C4" s="6" t="inlineStr">
        <is>
          <t>Input novo (tok)</t>
        </is>
      </c>
      <c r="D4" s="6" t="inlineStr">
        <is>
          <t>Input em cache (tok)</t>
        </is>
      </c>
      <c r="E4" s="6" t="inlineStr">
        <is>
          <t>Escrita de cache (tok)</t>
        </is>
      </c>
      <c r="F4" s="6" t="inlineStr">
        <is>
          <t>Output (tok)</t>
        </is>
      </c>
      <c r="G4" s="6" t="inlineStr">
        <is>
          <t>Haiku 5.5</t>
        </is>
      </c>
      <c r="H4" s="6" t="inlineStr">
        <is>
          <t>Sonnet 5.5</t>
        </is>
      </c>
      <c r="I4" s="6" t="inlineStr">
        <is>
          <t>Opus 5.5</t>
        </is>
      </c>
      <c r="J4" s="6" t="inlineStr">
        <is>
          <t>GPT-5.6 Luna</t>
        </is>
      </c>
      <c r="K4" s="6" t="inlineStr">
        <is>
          <t>GPT-5.6 Terra</t>
        </is>
      </c>
      <c r="L4" s="6" t="inlineStr">
        <is>
          <t>GPT-5.6 Sol</t>
        </is>
      </c>
      <c r="M4" s="6" t="inlineStr">
        <is>
          <t>gpt-4.1</t>
        </is>
      </c>
      <c r="N4" s="6" t="inlineStr">
        <is>
          <t>gpt-4.1-mini</t>
        </is>
      </c>
      <c r="O4" s="6" t="inlineStr">
        <is>
          <t>Fonte</t>
        </is>
      </c>
    </row>
    <row r="5">
      <c r="B5" s="7" t="inlineStr">
        <is>
          <t>Troca com o Mino (chamada de ensino)</t>
        </is>
      </c>
      <c r="C5" s="21" t="n">
        <v>800</v>
      </c>
      <c r="D5" s="21" t="n">
        <v>4500</v>
      </c>
      <c r="E5" s="21" t="n">
        <v>0</v>
      </c>
      <c r="F5" s="21" t="n">
        <v>500</v>
      </c>
      <c r="G5" s="8">
        <f>($C5*'Preços API'!$C$5+$D5*'Preços API'!$D$5+$E5*'Preços API'!$E$5+$F5*'Preços API'!$F$5)/1000000*100</f>
        <v/>
      </c>
      <c r="H5" s="8">
        <f>($C5*'Preços API'!$C$6+$D5*'Preços API'!$D$6+$E5*'Preços API'!$E$6+$F5*'Preços API'!$F$6)/1000000*100</f>
        <v/>
      </c>
      <c r="I5" s="8">
        <f>($C5*'Preços API'!$C$7+$D5*'Preços API'!$D$7+$E5*'Preços API'!$E$7+$F5*'Preços API'!$F$7)/1000000*100</f>
        <v/>
      </c>
      <c r="J5" s="8">
        <f>($C5*'Preços API'!$C$8+$D5*'Preços API'!$D$8+$E5*'Preços API'!$E$8+$F5*'Preços API'!$F$8)/1000000*100</f>
        <v/>
      </c>
      <c r="K5" s="8">
        <f>($C5*'Preços API'!$C$9+$D5*'Preços API'!$D$9+$E5*'Preços API'!$E$9+$F5*'Preços API'!$F$9)/1000000*100</f>
        <v/>
      </c>
      <c r="L5" s="8">
        <f>($C5*'Preços API'!$C$10+$D5*'Preços API'!$D$10+$E5*'Preços API'!$E$10+$F5*'Preços API'!$F$10)/1000000*100</f>
        <v/>
      </c>
      <c r="M5" s="8">
        <f>($C5*'Preços API'!$C$11+$D5*'Preços API'!$D$11+$E5*'Preços API'!$E$11+$F5*'Preços API'!$F$11)/1000000*100</f>
        <v/>
      </c>
      <c r="N5" s="8">
        <f>($C5*'Preços API'!$C$12+$D5*'Preços API'!$D$12+$E5*'Preços API'!$E$12+$F5*'Preços API'!$F$12)/1000000*100</f>
        <v/>
      </c>
      <c r="O5" s="11" t="inlineStr">
        <is>
          <t>PRICING_AUDIT: 800 novos, 4.500 em cache. Saída: ver nota abaixo da tabela</t>
        </is>
      </c>
    </row>
    <row r="6">
      <c r="B6" s="7" t="inlineStr">
        <is>
          <t>Classificador de rota</t>
        </is>
      </c>
      <c r="C6" s="21" t="n">
        <v>765</v>
      </c>
      <c r="D6" s="21" t="n">
        <v>0</v>
      </c>
      <c r="E6" s="21" t="n">
        <v>0</v>
      </c>
      <c r="F6" s="21" t="n">
        <v>15</v>
      </c>
      <c r="G6" s="8">
        <f>($C6*'Preços API'!$C$5+$D6*'Preços API'!$D$5+$E6*'Preços API'!$E$5+$F6*'Preços API'!$F$5)/1000000*100</f>
        <v/>
      </c>
      <c r="H6" s="8">
        <f>($C6*'Preços API'!$C$6+$D6*'Preços API'!$D$6+$E6*'Preços API'!$E$6+$F6*'Preços API'!$F$6)/1000000*100</f>
        <v/>
      </c>
      <c r="I6" s="8">
        <f>($C6*'Preços API'!$C$7+$D6*'Preços API'!$D$7+$E6*'Preços API'!$E$7+$F6*'Preços API'!$F$7)/1000000*100</f>
        <v/>
      </c>
      <c r="J6" s="8">
        <f>($C6*'Preços API'!$C$8+$D6*'Preços API'!$D$8+$E6*'Preços API'!$E$8+$F6*'Preços API'!$F$8)/1000000*100</f>
        <v/>
      </c>
      <c r="K6" s="8">
        <f>($C6*'Preços API'!$C$9+$D6*'Preços API'!$D$9+$E6*'Preços API'!$E$9+$F6*'Preços API'!$F$9)/1000000*100</f>
        <v/>
      </c>
      <c r="L6" s="8">
        <f>($C6*'Preços API'!$C$10+$D6*'Preços API'!$D$10+$E6*'Preços API'!$E$10+$F6*'Preços API'!$F$10)/1000000*100</f>
        <v/>
      </c>
      <c r="M6" s="8">
        <f>($C6*'Preços API'!$C$11+$D6*'Preços API'!$D$11+$E6*'Preços API'!$E$11+$F6*'Preços API'!$F$11)/1000000*100</f>
        <v/>
      </c>
      <c r="N6" s="8">
        <f>($C6*'Preços API'!$C$12+$D6*'Preços API'!$D$12+$E6*'Preços API'!$E$12+$F6*'Preços API'!$F$12)/1000000*100</f>
        <v/>
      </c>
      <c r="O6" s="11" t="inlineStr">
        <is>
          <t>usage-audit C1</t>
        </is>
      </c>
    </row>
    <row r="7">
      <c r="B7" s="7" t="inlineStr">
        <is>
          <t>Parse do objetivo</t>
        </is>
      </c>
      <c r="C7" s="21" t="n">
        <v>350</v>
      </c>
      <c r="D7" s="21" t="n">
        <v>0</v>
      </c>
      <c r="E7" s="21" t="n">
        <v>0</v>
      </c>
      <c r="F7" s="21" t="n">
        <v>120</v>
      </c>
      <c r="G7" s="8">
        <f>($C7*'Preços API'!$C$5+$D7*'Preços API'!$D$5+$E7*'Preços API'!$E$5+$F7*'Preços API'!$F$5)/1000000*100</f>
        <v/>
      </c>
      <c r="H7" s="8">
        <f>($C7*'Preços API'!$C$6+$D7*'Preços API'!$D$6+$E7*'Preços API'!$E$6+$F7*'Preços API'!$F$6)/1000000*100</f>
        <v/>
      </c>
      <c r="I7" s="8">
        <f>($C7*'Preços API'!$C$7+$D7*'Preços API'!$D$7+$E7*'Preços API'!$E$7+$F7*'Preços API'!$F$7)/1000000*100</f>
        <v/>
      </c>
      <c r="J7" s="8">
        <f>($C7*'Preços API'!$C$8+$D7*'Preços API'!$D$8+$E7*'Preços API'!$E$8+$F7*'Preços API'!$F$8)/1000000*100</f>
        <v/>
      </c>
      <c r="K7" s="8">
        <f>($C7*'Preços API'!$C$9+$D7*'Preços API'!$D$9+$E7*'Preços API'!$E$9+$F7*'Preços API'!$F$9)/1000000*100</f>
        <v/>
      </c>
      <c r="L7" s="8">
        <f>($C7*'Preços API'!$C$10+$D7*'Preços API'!$D$10+$E7*'Preços API'!$E$10+$F7*'Preços API'!$F$10)/1000000*100</f>
        <v/>
      </c>
      <c r="M7" s="8">
        <f>($C7*'Preços API'!$C$11+$D7*'Preços API'!$D$11+$E7*'Preços API'!$E$11+$F7*'Preços API'!$F$11)/1000000*100</f>
        <v/>
      </c>
      <c r="N7" s="8">
        <f>($C7*'Preços API'!$C$12+$D7*'Preços API'!$D$12+$E7*'Preços API'!$E$12+$F7*'Preços API'!$F$12)/1000000*100</f>
        <v/>
      </c>
      <c r="O7" s="11" t="inlineStr">
        <is>
          <t>usage-audit C2</t>
        </is>
      </c>
    </row>
    <row r="8">
      <c r="B8" s="7" t="inlineStr">
        <is>
          <t>Currículo</t>
        </is>
      </c>
      <c r="C8" s="21" t="n">
        <v>550</v>
      </c>
      <c r="D8" s="21" t="n">
        <v>0</v>
      </c>
      <c r="E8" s="21" t="n">
        <v>0</v>
      </c>
      <c r="F8" s="21" t="n">
        <v>1200</v>
      </c>
      <c r="G8" s="8">
        <f>($C8*'Preços API'!$C$5+$D8*'Preços API'!$D$5+$E8*'Preços API'!$E$5+$F8*'Preços API'!$F$5)/1000000*100</f>
        <v/>
      </c>
      <c r="H8" s="8">
        <f>($C8*'Preços API'!$C$6+$D8*'Preços API'!$D$6+$E8*'Preços API'!$E$6+$F8*'Preços API'!$F$6)/1000000*100</f>
        <v/>
      </c>
      <c r="I8" s="8">
        <f>($C8*'Preços API'!$C$7+$D8*'Preços API'!$D$7+$E8*'Preços API'!$E$7+$F8*'Preços API'!$F$7)/1000000*100</f>
        <v/>
      </c>
      <c r="J8" s="8">
        <f>($C8*'Preços API'!$C$8+$D8*'Preços API'!$D$8+$E8*'Preços API'!$E$8+$F8*'Preços API'!$F$8)/1000000*100</f>
        <v/>
      </c>
      <c r="K8" s="8">
        <f>($C8*'Preços API'!$C$9+$D8*'Preços API'!$D$9+$E8*'Preços API'!$E$9+$F8*'Preços API'!$F$9)/1000000*100</f>
        <v/>
      </c>
      <c r="L8" s="8">
        <f>($C8*'Preços API'!$C$10+$D8*'Preços API'!$D$10+$E8*'Preços API'!$E$10+$F8*'Preços API'!$F$10)/1000000*100</f>
        <v/>
      </c>
      <c r="M8" s="8">
        <f>($C8*'Preços API'!$C$11+$D8*'Preços API'!$D$11+$E8*'Preços API'!$E$11+$F8*'Preços API'!$F$11)/1000000*100</f>
        <v/>
      </c>
      <c r="N8" s="8">
        <f>($C8*'Preços API'!$C$12+$D8*'Preços API'!$D$12+$E8*'Preços API'!$E$12+$F8*'Preços API'!$F$12)/1000000*100</f>
        <v/>
      </c>
      <c r="O8" s="11" t="inlineStr">
        <is>
          <t>usage-audit C2</t>
        </is>
      </c>
    </row>
    <row r="9">
      <c r="B9" s="7" t="inlineStr">
        <is>
          <t>Quiz de checkpoint (assessment)</t>
        </is>
      </c>
      <c r="C9" s="21" t="n">
        <v>2400</v>
      </c>
      <c r="D9" s="21" t="n">
        <v>0</v>
      </c>
      <c r="E9" s="21" t="n">
        <v>0</v>
      </c>
      <c r="F9" s="21" t="n">
        <v>1100</v>
      </c>
      <c r="G9" s="8">
        <f>($C9*'Preços API'!$C$5+$D9*'Preços API'!$D$5+$E9*'Preços API'!$E$5+$F9*'Preços API'!$F$5)/1000000*100</f>
        <v/>
      </c>
      <c r="H9" s="8">
        <f>($C9*'Preços API'!$C$6+$D9*'Preços API'!$D$6+$E9*'Preços API'!$E$6+$F9*'Preços API'!$F$6)/1000000*100</f>
        <v/>
      </c>
      <c r="I9" s="8">
        <f>($C9*'Preços API'!$C$7+$D9*'Preços API'!$D$7+$E9*'Preços API'!$E$7+$F9*'Preços API'!$F$7)/1000000*100</f>
        <v/>
      </c>
      <c r="J9" s="8">
        <f>($C9*'Preços API'!$C$8+$D9*'Preços API'!$D$8+$E9*'Preços API'!$E$8+$F9*'Preços API'!$F$8)/1000000*100</f>
        <v/>
      </c>
      <c r="K9" s="8">
        <f>($C9*'Preços API'!$C$9+$D9*'Preços API'!$D$9+$E9*'Preços API'!$E$9+$F9*'Preços API'!$F$9)/1000000*100</f>
        <v/>
      </c>
      <c r="L9" s="8">
        <f>($C9*'Preços API'!$C$10+$D9*'Preços API'!$D$10+$E9*'Preços API'!$E$10+$F9*'Preços API'!$F$10)/1000000*100</f>
        <v/>
      </c>
      <c r="M9" s="8">
        <f>($C9*'Preços API'!$C$11+$D9*'Preços API'!$D$11+$E9*'Preços API'!$E$11+$F9*'Preços API'!$F$11)/1000000*100</f>
        <v/>
      </c>
      <c r="N9" s="8">
        <f>($C9*'Preços API'!$C$12+$D9*'Preços API'!$D$12+$E9*'Preços API'!$E$12+$F9*'Preços API'!$F$12)/1000000*100</f>
        <v/>
      </c>
      <c r="O9" s="11" t="inlineStr">
        <is>
          <t>usage-audit C2</t>
        </is>
      </c>
    </row>
    <row r="10">
      <c r="B10" s="7" t="inlineStr">
        <is>
          <t>Lote de flashcards</t>
        </is>
      </c>
      <c r="C10" s="21" t="n">
        <v>1800</v>
      </c>
      <c r="D10" s="21" t="n">
        <v>0</v>
      </c>
      <c r="E10" s="21" t="n">
        <v>0</v>
      </c>
      <c r="F10" s="21" t="n">
        <v>300</v>
      </c>
      <c r="G10" s="8">
        <f>($C10*'Preços API'!$C$5+$D10*'Preços API'!$D$5+$E10*'Preços API'!$E$5+$F10*'Preços API'!$F$5)/1000000*100</f>
        <v/>
      </c>
      <c r="H10" s="8">
        <f>($C10*'Preços API'!$C$6+$D10*'Preços API'!$D$6+$E10*'Preços API'!$E$6+$F10*'Preços API'!$F$6)/1000000*100</f>
        <v/>
      </c>
      <c r="I10" s="8">
        <f>($C10*'Preços API'!$C$7+$D10*'Preços API'!$D$7+$E10*'Preços API'!$E$7+$F10*'Preços API'!$F$7)/1000000*100</f>
        <v/>
      </c>
      <c r="J10" s="8">
        <f>($C10*'Preços API'!$C$8+$D10*'Preços API'!$D$8+$E10*'Preços API'!$E$8+$F10*'Preços API'!$F$8)/1000000*100</f>
        <v/>
      </c>
      <c r="K10" s="8">
        <f>($C10*'Preços API'!$C$9+$D10*'Preços API'!$D$9+$E10*'Preços API'!$E$9+$F10*'Preços API'!$F$9)/1000000*100</f>
        <v/>
      </c>
      <c r="L10" s="8">
        <f>($C10*'Preços API'!$C$10+$D10*'Preços API'!$D$10+$E10*'Preços API'!$E$10+$F10*'Preços API'!$F$10)/1000000*100</f>
        <v/>
      </c>
      <c r="M10" s="8">
        <f>($C10*'Preços API'!$C$11+$D10*'Preços API'!$D$11+$E10*'Preços API'!$E$11+$F10*'Preços API'!$F$11)/1000000*100</f>
        <v/>
      </c>
      <c r="N10" s="8">
        <f>($C10*'Preços API'!$C$12+$D10*'Preços API'!$D$12+$E10*'Preços API'!$E$12+$F10*'Preços API'!$F$12)/1000000*100</f>
        <v/>
      </c>
      <c r="O10" s="11" t="inlineStr">
        <is>
          <t>usage-audit C2</t>
        </is>
      </c>
    </row>
    <row r="11">
      <c r="B11" s="7" t="inlineStr">
        <is>
          <t>Compactação de memória</t>
        </is>
      </c>
      <c r="C11" s="21" t="n">
        <v>5500</v>
      </c>
      <c r="D11" s="21" t="n">
        <v>0</v>
      </c>
      <c r="E11" s="21" t="n">
        <v>0</v>
      </c>
      <c r="F11" s="21" t="n">
        <v>450</v>
      </c>
      <c r="G11" s="8">
        <f>($C11*'Preços API'!$C$5+$D11*'Preços API'!$D$5+$E11*'Preços API'!$E$5+$F11*'Preços API'!$F$5)/1000000*100</f>
        <v/>
      </c>
      <c r="H11" s="8">
        <f>($C11*'Preços API'!$C$6+$D11*'Preços API'!$D$6+$E11*'Preços API'!$E$6+$F11*'Preços API'!$F$6)/1000000*100</f>
        <v/>
      </c>
      <c r="I11" s="8">
        <f>($C11*'Preços API'!$C$7+$D11*'Preços API'!$D$7+$E11*'Preços API'!$E$7+$F11*'Preços API'!$F$7)/1000000*100</f>
        <v/>
      </c>
      <c r="J11" s="8">
        <f>($C11*'Preços API'!$C$8+$D11*'Preços API'!$D$8+$E11*'Preços API'!$E$8+$F11*'Preços API'!$F$8)/1000000*100</f>
        <v/>
      </c>
      <c r="K11" s="8">
        <f>($C11*'Preços API'!$C$9+$D11*'Preços API'!$D$9+$E11*'Preços API'!$E$9+$F11*'Preços API'!$F$9)/1000000*100</f>
        <v/>
      </c>
      <c r="L11" s="8">
        <f>($C11*'Preços API'!$C$10+$D11*'Preços API'!$D$10+$E11*'Preços API'!$E$10+$F11*'Preços API'!$F$10)/1000000*100</f>
        <v/>
      </c>
      <c r="M11" s="8">
        <f>($C11*'Preços API'!$C$11+$D11*'Preços API'!$D$11+$E11*'Preços API'!$E$11+$F11*'Preços API'!$F$11)/1000000*100</f>
        <v/>
      </c>
      <c r="N11" s="8">
        <f>($C11*'Preços API'!$C$12+$D11*'Preços API'!$D$12+$E11*'Preços API'!$E$12+$F11*'Preços API'!$F$12)/1000000*100</f>
        <v/>
      </c>
      <c r="O11" s="11" t="inlineStr">
        <is>
          <t>usage-audit C2</t>
        </is>
      </c>
    </row>
    <row r="12">
      <c r="B12" s="7" t="inlineStr">
        <is>
          <t>Extração de conceitos (lote de 5 chunks)</t>
        </is>
      </c>
      <c r="C12" s="21" t="n">
        <v>3000</v>
      </c>
      <c r="D12" s="21" t="n">
        <v>0</v>
      </c>
      <c r="E12" s="21" t="n">
        <v>0</v>
      </c>
      <c r="F12" s="21" t="n">
        <v>400</v>
      </c>
      <c r="G12" s="8">
        <f>($C12*'Preços API'!$C$5+$D12*'Preços API'!$D$5+$E12*'Preços API'!$E$5+$F12*'Preços API'!$F$5)/1000000*100</f>
        <v/>
      </c>
      <c r="H12" s="8">
        <f>($C12*'Preços API'!$C$6+$D12*'Preços API'!$D$6+$E12*'Preços API'!$E$6+$F12*'Preços API'!$F$6)/1000000*100</f>
        <v/>
      </c>
      <c r="I12" s="8">
        <f>($C12*'Preços API'!$C$7+$D12*'Preços API'!$D$7+$E12*'Preços API'!$E$7+$F12*'Preços API'!$F$7)/1000000*100</f>
        <v/>
      </c>
      <c r="J12" s="8">
        <f>($C12*'Preços API'!$C$8+$D12*'Preços API'!$D$8+$E12*'Preços API'!$E$8+$F12*'Preços API'!$F$8)/1000000*100</f>
        <v/>
      </c>
      <c r="K12" s="8">
        <f>($C12*'Preços API'!$C$9+$D12*'Preços API'!$D$9+$E12*'Preços API'!$E$9+$F12*'Preços API'!$F$9)/1000000*100</f>
        <v/>
      </c>
      <c r="L12" s="8">
        <f>($C12*'Preços API'!$C$10+$D12*'Preços API'!$D$10+$E12*'Preços API'!$E$10+$F12*'Preços API'!$F$10)/1000000*100</f>
        <v/>
      </c>
      <c r="M12" s="8">
        <f>($C12*'Preços API'!$C$11+$D12*'Preços API'!$D$11+$E12*'Preços API'!$E$11+$F12*'Preços API'!$F$11)/1000000*100</f>
        <v/>
      </c>
      <c r="N12" s="8">
        <f>($C12*'Preços API'!$C$12+$D12*'Preços API'!$D$12+$E12*'Preços API'!$E$12+$F12*'Preços API'!$F$12)/1000000*100</f>
        <v/>
      </c>
      <c r="O12" s="11" t="inlineStr">
        <is>
          <t>usage-audit C5</t>
        </is>
      </c>
    </row>
    <row r="14">
      <c r="B14" s="11" t="inlineStr">
        <is>
          <t>Saída da troca: a auditoria escreve 'saída média de 300', mas os seus resultados (0,74¢ / 0,34¢ por troca; R$ 104,56 / R$ 47,99 para 2.500 trocas) só fecham com 500 tokens de saída (ou 1.800 de input novo). A planilha usa 500 para reproduzir a auditoria; com 300 a troca conservadora cai para ~0,53¢.</t>
        </is>
      </c>
    </row>
    <row r="16">
      <c r="B16" s="5" t="inlineStr">
        <is>
          <t>Roteamento da troca com o Mino</t>
        </is>
      </c>
    </row>
    <row r="17">
      <c r="B17" s="6" t="inlineStr">
        <is>
          <t>Modelo</t>
        </is>
      </c>
      <c r="C17" s="6" t="inlineStr">
        <is>
          <t>Conservador</t>
        </is>
      </c>
      <c r="D17" s="6" t="inlineStr">
        <is>
          <t>Otimizado</t>
        </is>
      </c>
      <c r="E17" s="6" t="inlineStr">
        <is>
          <t>Custo da troca no modelo (US¢)</t>
        </is>
      </c>
    </row>
    <row r="18">
      <c r="B18" s="7" t="inlineStr">
        <is>
          <t>Haiku 5.5</t>
        </is>
      </c>
      <c r="C18" s="14" t="n">
        <v>0</v>
      </c>
      <c r="D18" s="14" t="n">
        <v>0.6</v>
      </c>
      <c r="E18" s="8">
        <f>G5</f>
        <v/>
      </c>
      <c r="F18" s="11" t="inlineStr">
        <is>
          <t>PRICING_AUDIT, premissas das colunas: conservador = Sonnet 95% + Opus 5%;</t>
        </is>
      </c>
    </row>
    <row r="19">
      <c r="B19" s="7" t="inlineStr">
        <is>
          <t>Sonnet 5.5</t>
        </is>
      </c>
      <c r="C19" s="14" t="n">
        <v>0.95</v>
      </c>
      <c r="D19" s="14" t="n">
        <v>0.35</v>
      </c>
      <c r="E19" s="8">
        <f>H5</f>
        <v/>
      </c>
      <c r="F19" s="11" t="inlineStr">
        <is>
          <t>otimizado = Haiku 60% + Sonnet 35% + Opus 5% (se o Haiku passar no eval).</t>
        </is>
      </c>
    </row>
    <row r="20">
      <c r="B20" s="7" t="inlineStr">
        <is>
          <t>Opus 5.5</t>
        </is>
      </c>
      <c r="C20" s="14" t="n">
        <v>0.05</v>
      </c>
      <c r="D20" s="14" t="n">
        <v>0.05</v>
      </c>
      <c r="E20" s="8">
        <f>I5</f>
        <v/>
      </c>
    </row>
    <row r="21">
      <c r="B21" s="19" t="inlineStr">
        <is>
          <t>Soma (deve dar 100%)</t>
        </is>
      </c>
      <c r="C21" s="9">
        <f>SUM(C18:C20)</f>
        <v/>
      </c>
      <c r="D21" s="9">
        <f>SUM(D18:D20)</f>
        <v/>
      </c>
    </row>
    <row r="22">
      <c r="B22" s="19" t="inlineStr">
        <is>
          <t>Custo médio por troca (US¢)</t>
        </is>
      </c>
      <c r="C22" s="22">
        <f>SUMPRODUCT(C18:C20,$E$18:$E$20)</f>
        <v/>
      </c>
      <c r="D22" s="22">
        <f>SUMPRODUCT(D18:D20,$E$18:$E$20)</f>
        <v/>
      </c>
      <c r="E22" s="23" t="n">
        <v>0.74</v>
      </c>
      <c r="F22" s="23" t="n">
        <v>0.34</v>
      </c>
      <c r="G22" s="11" t="inlineStr">
        <is>
          <t>← auditoria: 0,74¢ / 0,34¢</t>
        </is>
      </c>
    </row>
    <row r="23">
      <c r="B23" s="7" t="inlineStr">
        <is>
          <t>Custo médio por troca (R$)</t>
        </is>
      </c>
      <c r="C23" s="24">
        <f>C22/100*'Premissas'!$C$5</f>
        <v/>
      </c>
      <c r="D23" s="24">
        <f>D22/100*'Premissas'!$C$5</f>
        <v/>
      </c>
    </row>
    <row r="24">
      <c r="B24" s="7" t="inlineStr">
        <is>
          <t>Troca + classificador de rota (US¢, informativo)</t>
        </is>
      </c>
      <c r="C24" s="8">
        <f>C22+'Premissas'!$C$21*G6</f>
        <v/>
      </c>
      <c r="D24" s="8">
        <f>D22+'Premissas'!$C$21*G6</f>
        <v/>
      </c>
      <c r="E24" s="11" t="inlineStr">
        <is>
          <t>A auditoria não inclui a rota no custo da troca; ela entra nas chamadas laterais da aula.</t>
        </is>
      </c>
    </row>
    <row r="26">
      <c r="B26" s="5" t="inlineStr">
        <is>
          <t>Chamadas laterais: modelo por cenário</t>
        </is>
      </c>
    </row>
    <row r="27">
      <c r="B27" s="6" t="inlineStr">
        <is>
          <t>Operação</t>
        </is>
      </c>
      <c r="C27" s="6" t="inlineStr">
        <is>
          <t>Modelo (conservador)</t>
        </is>
      </c>
      <c r="D27" s="6" t="inlineStr">
        <is>
          <t>Custo conservador (US¢)</t>
        </is>
      </c>
      <c r="E27" s="6" t="inlineStr">
        <is>
          <t>Modelo (otimizado)</t>
        </is>
      </c>
      <c r="F27" s="6" t="inlineStr">
        <is>
          <t>Custo otimizado (US¢)</t>
        </is>
      </c>
      <c r="G27" s="6" t="inlineStr">
        <is>
          <t>Auditoria cons. (US¢)</t>
        </is>
      </c>
      <c r="H27" s="6" t="inlineStr">
        <is>
          <t>Auditoria otim. (US¢)</t>
        </is>
      </c>
    </row>
    <row r="28">
      <c r="B28" s="7" t="inlineStr">
        <is>
          <t>Classificador de rota</t>
        </is>
      </c>
      <c r="C28" s="25" t="inlineStr">
        <is>
          <t>Haiku 5.5</t>
        </is>
      </c>
      <c r="D28" s="8">
        <f>INDEX($G$6:$N$6,1,MATCH($C28,$G$4:$N$4,0))</f>
        <v/>
      </c>
      <c r="E28" s="25" t="inlineStr">
        <is>
          <t>Haiku 5.5</t>
        </is>
      </c>
      <c r="F28" s="8">
        <f>INDEX($G$6:$N$6,1,MATCH($E28,$G$4:$N$4,0))</f>
        <v/>
      </c>
    </row>
    <row r="29">
      <c r="B29" s="7" t="inlineStr">
        <is>
          <t>Matéria nova (parse + currículo)</t>
        </is>
      </c>
      <c r="C29" s="25" t="inlineStr">
        <is>
          <t>Haiku 5.5</t>
        </is>
      </c>
      <c r="D29" s="8">
        <f>INDEX($G$7:$N$7,1,MATCH($C29,$G$4:$N$4,0))+INDEX($G$8:$N$8,1,MATCH($C29,$G$4:$N$4,0))</f>
        <v/>
      </c>
      <c r="E29" s="25" t="inlineStr">
        <is>
          <t>Haiku 5.5</t>
        </is>
      </c>
      <c r="F29" s="8">
        <f>INDEX($G$7:$N$7,1,MATCH($E29,$G$4:$N$4,0))+INDEX($G$8:$N$8,1,MATCH($E29,$G$4:$N$4,0))</f>
        <v/>
      </c>
      <c r="G29" s="23" t="n">
        <v>0.1</v>
      </c>
      <c r="H29" s="23" t="n">
        <v>0.02</v>
      </c>
    </row>
    <row r="30">
      <c r="B30" s="7" t="inlineStr">
        <is>
          <t>Quiz de checkpoint</t>
        </is>
      </c>
      <c r="C30" s="25" t="inlineStr">
        <is>
          <t>Haiku 5.5</t>
        </is>
      </c>
      <c r="D30" s="8">
        <f>INDEX($G$9:$N$9,1,MATCH($C30,$G$4:$N$4,0))</f>
        <v/>
      </c>
      <c r="E30" s="25" t="inlineStr">
        <is>
          <t>Haiku 5.5</t>
        </is>
      </c>
      <c r="F30" s="8">
        <f>INDEX($G$9:$N$9,1,MATCH($E30,$G$4:$N$4,0))</f>
        <v/>
      </c>
      <c r="G30" s="23" t="n">
        <v>0.3</v>
      </c>
      <c r="H30" s="23" t="n">
        <v>0.1</v>
      </c>
    </row>
    <row r="31">
      <c r="B31" s="7" t="inlineStr">
        <is>
          <t>Lote de flashcards</t>
        </is>
      </c>
      <c r="C31" s="25" t="inlineStr">
        <is>
          <t>Haiku 5.5</t>
        </is>
      </c>
      <c r="D31" s="8">
        <f>INDEX($G$10:$N$10,1,MATCH($C31,$G$4:$N$4,0))</f>
        <v/>
      </c>
      <c r="E31" s="25" t="inlineStr">
        <is>
          <t>Haiku 5.5</t>
        </is>
      </c>
      <c r="F31" s="8">
        <f>INDEX($G$10:$N$10,1,MATCH($E31,$G$4:$N$4,0))</f>
        <v/>
      </c>
      <c r="G31" s="23" t="n">
        <v>0.02</v>
      </c>
      <c r="H31" s="23" t="n">
        <v>0.02</v>
      </c>
    </row>
    <row r="32">
      <c r="B32" s="7" t="inlineStr">
        <is>
          <t>Compactação de memória</t>
        </is>
      </c>
      <c r="C32" s="25" t="inlineStr">
        <is>
          <t>Haiku 5.5</t>
        </is>
      </c>
      <c r="D32" s="8">
        <f>INDEX($G$11:$N$11,1,MATCH($C32,$G$4:$N$4,0))</f>
        <v/>
      </c>
      <c r="E32" s="25" t="inlineStr">
        <is>
          <t>Haiku 5.5</t>
        </is>
      </c>
      <c r="F32" s="8">
        <f>INDEX($G$11:$N$11,1,MATCH($E32,$G$4:$N$4,0))</f>
        <v/>
      </c>
      <c r="G32" s="23" t="n">
        <v>0.03</v>
      </c>
      <c r="H32" s="23" t="n">
        <v>0.03</v>
      </c>
    </row>
    <row r="33">
      <c r="B33" s="11" t="inlineStr">
        <is>
          <t>Roteamento proposto (PRICING_AUDIT): rota, parse, compactação e flashcards no Haiku 5.5. A tabela de roteamento põe o currículo no Sonnet 5.5, mas a 'matéria nova' a 0,1¢ só é possível no Haiku; a planilha usa Haiku e mostra a referência da auditoria ao lado.</t>
        </is>
      </c>
    </row>
    <row r="35">
      <c r="B35" s="5" t="inlineStr">
        <is>
          <t>PDF (ingestão no worker)</t>
        </is>
      </c>
    </row>
    <row r="36">
      <c r="B36" s="7" t="inlineStr">
        <is>
          <t>Páginas</t>
        </is>
      </c>
      <c r="C36" s="21" t="n">
        <v>100</v>
      </c>
      <c r="D36" s="11" t="inlineStr">
        <is>
          <t>PRICING_AUDIT</t>
        </is>
      </c>
    </row>
    <row r="37">
      <c r="B37" s="7" t="inlineStr">
        <is>
          <t>Chunks por página</t>
        </is>
      </c>
      <c r="C37" s="12" t="n">
        <v>1.15</v>
      </c>
      <c r="D37" s="11" t="inlineStr">
        <is>
          <t>usage-audit C5</t>
        </is>
      </c>
    </row>
    <row r="38">
      <c r="B38" s="7" t="inlineStr">
        <is>
          <t>Tokens de embedding por página</t>
        </is>
      </c>
      <c r="C38" s="21" t="n">
        <v>630</v>
      </c>
      <c r="D38" s="11" t="inlineStr">
        <is>
          <t>usage-audit C5</t>
        </is>
      </c>
    </row>
    <row r="39">
      <c r="B39" s="7" t="inlineStr">
        <is>
          <t>Chunks por chamada de extração</t>
        </is>
      </c>
      <c r="C39" s="17" t="n">
        <v>5</v>
      </c>
      <c r="D39" s="11" t="inlineStr">
        <is>
          <t>usage-audit C5</t>
        </is>
      </c>
    </row>
    <row r="40">
      <c r="B40" s="7" t="inlineStr">
        <is>
          <t>Modelo da extração</t>
        </is>
      </c>
      <c r="C40" s="25" t="inlineStr">
        <is>
          <t>Haiku 5.5</t>
        </is>
      </c>
      <c r="D40" s="11" t="inlineStr">
        <is>
          <t>PRICING_AUDIT: Haiku 5.5 (batch quando der)</t>
        </is>
      </c>
    </row>
    <row r="41">
      <c r="B41" s="7" t="inlineStr">
        <is>
          <t>Chamadas de extração</t>
        </is>
      </c>
      <c r="C41" s="26">
        <f>C36*C37/C39</f>
        <v/>
      </c>
    </row>
    <row r="42">
      <c r="B42" s="7" t="inlineStr">
        <is>
          <t>Custo da extração com desconto batch (US¢)</t>
        </is>
      </c>
      <c r="C42" s="8">
        <f>C41*INDEX($G$12:$N$12,1,MATCH($C$40,$G$4:$N$4,0))*(1-'Premissas'!$C$22)</f>
        <v/>
      </c>
    </row>
    <row r="43">
      <c r="B43" s="7" t="inlineStr">
        <is>
          <t>Custo dos embeddings (US¢)</t>
        </is>
      </c>
      <c r="C43" s="8">
        <f>C36*C38*'Preços API'!$C$13/1000000*100</f>
        <v/>
      </c>
    </row>
    <row r="44">
      <c r="B44" s="19" t="inlineStr">
        <is>
          <t>PDF completo (US¢)</t>
        </is>
      </c>
      <c r="C44" s="22">
        <f>C42+C43</f>
        <v/>
      </c>
      <c r="D44" s="23" t="n">
        <v>0.6</v>
      </c>
      <c r="E44" s="11" t="inlineStr">
        <is>
          <t>← auditoria: ~0,6¢ (igual nos dois cenários)</t>
        </is>
      </c>
    </row>
    <row r="45">
      <c r="B45" s="7" t="inlineStr">
        <is>
          <t>PDF completo (R$)</t>
        </is>
      </c>
      <c r="C45" s="24">
        <f>C44/100*'Premissas'!$C$5</f>
        <v/>
      </c>
    </row>
    <row r="47">
      <c r="B47" s="5" t="inlineStr">
        <is>
          <t>Aula (trocas + chamadas laterais)</t>
        </is>
      </c>
    </row>
    <row r="48">
      <c r="B48" s="6" t="inlineStr">
        <is>
          <t>Item</t>
        </is>
      </c>
      <c r="C48" s="6" t="inlineStr">
        <is>
          <t>Qtd. por aula</t>
        </is>
      </c>
      <c r="D48" s="6" t="inlineStr">
        <is>
          <t>Conservador (US¢)</t>
        </is>
      </c>
      <c r="E48" s="6" t="inlineStr">
        <is>
          <t>Otimizado (US¢)</t>
        </is>
      </c>
    </row>
    <row r="49">
      <c r="B49" s="7" t="inlineStr">
        <is>
          <t>Trocas</t>
        </is>
      </c>
      <c r="C49" s="27">
        <f>'Premissas'!$C$19</f>
        <v/>
      </c>
      <c r="D49" s="8">
        <f>C49*'Custo por operação'!$C$22</f>
        <v/>
      </c>
      <c r="E49" s="8">
        <f>C49*'Custo por operação'!$D$22</f>
        <v/>
      </c>
    </row>
    <row r="50">
      <c r="B50" s="7" t="inlineStr">
        <is>
          <t>Classificador de rota</t>
        </is>
      </c>
      <c r="C50" s="27">
        <f>'Premissas'!$C$19*'Premissas'!$C$21</f>
        <v/>
      </c>
      <c r="D50" s="8">
        <f>C50*$D$28</f>
        <v/>
      </c>
      <c r="E50" s="8">
        <f>C50*$F$28</f>
        <v/>
      </c>
    </row>
    <row r="51">
      <c r="B51" s="7" t="inlineStr">
        <is>
          <t>Matéria nova</t>
        </is>
      </c>
      <c r="C51" s="17" t="n">
        <v>1</v>
      </c>
      <c r="D51" s="8">
        <f>C51*$D$29</f>
        <v/>
      </c>
      <c r="E51" s="8">
        <f>C51*$F$29</f>
        <v/>
      </c>
    </row>
    <row r="52">
      <c r="B52" s="7" t="inlineStr">
        <is>
          <t>Quiz de checkpoint</t>
        </is>
      </c>
      <c r="C52" s="17" t="n">
        <v>1</v>
      </c>
      <c r="D52" s="8">
        <f>C52*$D$30</f>
        <v/>
      </c>
      <c r="E52" s="8">
        <f>C52*$F$30</f>
        <v/>
      </c>
    </row>
    <row r="53">
      <c r="B53" s="7" t="inlineStr">
        <is>
          <t>Lote de flashcards</t>
        </is>
      </c>
      <c r="C53" s="17" t="n">
        <v>1</v>
      </c>
      <c r="D53" s="8">
        <f>C53*$D$31</f>
        <v/>
      </c>
      <c r="E53" s="8">
        <f>C53*$F$31</f>
        <v/>
      </c>
    </row>
    <row r="54">
      <c r="B54" s="7" t="inlineStr">
        <is>
          <t>Compactação de memória</t>
        </is>
      </c>
      <c r="C54" s="17" t="n">
        <v>0</v>
      </c>
      <c r="D54" s="8">
        <f>C54*$D$32</f>
        <v/>
      </c>
      <c r="E54" s="8">
        <f>C54*$F$32</f>
        <v/>
      </c>
    </row>
    <row r="55">
      <c r="B55" s="19" t="inlineStr">
        <is>
          <t>Aula completa (US¢)</t>
        </is>
      </c>
      <c r="D55" s="22">
        <f>SUM(D49:D54)</f>
        <v/>
      </c>
      <c r="E55" s="22">
        <f>SUM(E49:E54)</f>
        <v/>
      </c>
      <c r="F55" s="23" t="n">
        <v>7.8</v>
      </c>
      <c r="G55" s="23" t="n">
        <v>3.8</v>
      </c>
      <c r="H55" s="11" t="inlineStr">
        <is>
          <t>← auditoria: 7,8¢ / 3,8¢</t>
        </is>
      </c>
    </row>
    <row r="56">
      <c r="B56" s="19" t="inlineStr">
        <is>
          <t>Aula completa (R$)</t>
        </is>
      </c>
      <c r="D56" s="28">
        <f>D55/100*'Premissas'!$C$5</f>
        <v/>
      </c>
      <c r="E56" s="28">
        <f>E55/100*'Premissas'!$C$5</f>
        <v/>
      </c>
      <c r="F56" s="29" t="n">
        <v>0.44</v>
      </c>
      <c r="G56" s="29" t="n">
        <v>0.22</v>
      </c>
      <c r="H56" s="11" t="inlineStr">
        <is>
          <t>← auditoria: R$ 0,44 / R$ 0,22</t>
        </is>
      </c>
    </row>
    <row r="57">
      <c r="B57" s="11" t="inlineStr">
        <is>
          <t>A compactação fica em 0 por aula: usage-audit B3 diz que ela nunca rodou em produção.</t>
        </is>
      </c>
    </row>
  </sheetData>
  <dataValidations count="1">
    <dataValidation sqref="C28 C29 C30 C31 C32 C40 E28 E29 E30 E31 E32" showDropDown="0" showInputMessage="0" showErrorMessage="0" allowBlank="0" type="list">
      <formula1>=$G$4:$N$4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Custo mensal de IA por perfil de uso</t>
        </is>
      </c>
    </row>
    <row r="2">
      <c r="A2" s="11" t="inlineStr">
        <is>
          <t>custo = trocas × custo médio por troca (sem chamadas laterais)</t>
        </is>
      </c>
    </row>
    <row r="4">
      <c r="B4" s="6" t="inlineStr">
        <is>
          <t>Perfil</t>
        </is>
      </c>
      <c r="C4" s="6" t="inlineStr">
        <is>
          <t>Trocas por mês</t>
        </is>
      </c>
      <c r="D4" s="6" t="inlineStr">
        <is>
          <t>Conservador (US$)</t>
        </is>
      </c>
      <c r="E4" s="6" t="inlineStr">
        <is>
          <t>Otimizado (US$)</t>
        </is>
      </c>
      <c r="F4" s="6" t="inlineStr">
        <is>
          <t>Conservador (R$)</t>
        </is>
      </c>
      <c r="G4" s="6" t="inlineStr">
        <is>
          <t>Otimizado (R$)</t>
        </is>
      </c>
      <c r="H4" s="6" t="inlineStr">
        <is>
          <t>Auditoria cons. (R$)</t>
        </is>
      </c>
      <c r="I4" s="6" t="inlineStr">
        <is>
          <t>Auditoria otim. (R$)</t>
        </is>
      </c>
    </row>
    <row r="5">
      <c r="B5" s="7" t="inlineStr">
        <is>
          <t>Free ativado</t>
        </is>
      </c>
      <c r="C5" s="21" t="n">
        <v>40</v>
      </c>
      <c r="D5" s="30">
        <f>C5*'Custo por operação'!$C$22/100</f>
        <v/>
      </c>
      <c r="E5" s="30">
        <f>C5*'Custo por operação'!$D$22/100</f>
        <v/>
      </c>
      <c r="F5" s="28">
        <f>D5*'Premissas'!$C$5</f>
        <v/>
      </c>
      <c r="G5" s="28">
        <f>E5*'Premissas'!$C$5</f>
        <v/>
      </c>
      <c r="H5" s="29" t="n">
        <v>1.67</v>
      </c>
      <c r="I5" s="29" t="n">
        <v>0.77</v>
      </c>
    </row>
    <row r="6">
      <c r="B6" s="7" t="inlineStr">
        <is>
          <t>Light</t>
        </is>
      </c>
      <c r="C6" s="21" t="n">
        <v>80</v>
      </c>
      <c r="D6" s="30">
        <f>C6*'Custo por operação'!$C$22/100</f>
        <v/>
      </c>
      <c r="E6" s="30">
        <f>C6*'Custo por operação'!$D$22/100</f>
        <v/>
      </c>
      <c r="F6" s="28">
        <f>D6*'Premissas'!$C$5</f>
        <v/>
      </c>
      <c r="G6" s="28">
        <f>E6*'Premissas'!$C$5</f>
        <v/>
      </c>
      <c r="H6" s="29" t="n">
        <v>3.35</v>
      </c>
      <c r="I6" s="29" t="n">
        <v>1.54</v>
      </c>
    </row>
    <row r="7">
      <c r="B7" s="7" t="inlineStr">
        <is>
          <t>Normal</t>
        </is>
      </c>
      <c r="C7" s="21" t="n">
        <v>250</v>
      </c>
      <c r="D7" s="30">
        <f>C7*'Custo por operação'!$C$22/100</f>
        <v/>
      </c>
      <c r="E7" s="30">
        <f>C7*'Custo por operação'!$D$22/100</f>
        <v/>
      </c>
      <c r="F7" s="28">
        <f>D7*'Premissas'!$C$5</f>
        <v/>
      </c>
      <c r="G7" s="28">
        <f>E7*'Premissas'!$C$5</f>
        <v/>
      </c>
      <c r="H7" s="29" t="n">
        <v>10.46</v>
      </c>
      <c r="I7" s="29" t="n">
        <v>4.8</v>
      </c>
    </row>
    <row r="8">
      <c r="B8" s="7" t="inlineStr">
        <is>
          <t>Power</t>
        </is>
      </c>
      <c r="C8" s="21" t="n">
        <v>700</v>
      </c>
      <c r="D8" s="30">
        <f>C8*'Custo por operação'!$C$22/100</f>
        <v/>
      </c>
      <c r="E8" s="30">
        <f>C8*'Custo por operação'!$D$22/100</f>
        <v/>
      </c>
      <c r="F8" s="28">
        <f>D8*'Premissas'!$C$5</f>
        <v/>
      </c>
      <c r="G8" s="28">
        <f>E8*'Premissas'!$C$5</f>
        <v/>
      </c>
      <c r="H8" s="29" t="n">
        <v>29.28</v>
      </c>
      <c r="I8" s="29" t="n">
        <v>13.44</v>
      </c>
    </row>
    <row r="9">
      <c r="B9" s="7" t="inlineStr">
        <is>
          <t>Extreme, sem teto</t>
        </is>
      </c>
      <c r="C9" s="21" t="n">
        <v>2500</v>
      </c>
      <c r="D9" s="30">
        <f>C9*'Custo por operação'!$C$22/100</f>
        <v/>
      </c>
      <c r="E9" s="30">
        <f>C9*'Custo por operação'!$D$22/100</f>
        <v/>
      </c>
      <c r="F9" s="28">
        <f>D9*'Premissas'!$C$5</f>
        <v/>
      </c>
      <c r="G9" s="28">
        <f>E9*'Premissas'!$C$5</f>
        <v/>
      </c>
      <c r="H9" s="29" t="n">
        <v>104.56</v>
      </c>
      <c r="I9" s="29" t="n">
        <v>47.99</v>
      </c>
    </row>
    <row r="10">
      <c r="B10" s="7" t="inlineStr">
        <is>
          <t>Extreme, com o uso justo proposto</t>
        </is>
      </c>
      <c r="C10" s="11" t="inlineStr">
        <is>
          <t>→ aba Planos, 'Custo de IA no teto de uso justo' (Plus / Pro)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Planos propostos: receita líquida, custo de IA e margem</t>
        </is>
      </c>
    </row>
    <row r="2">
      <c r="A2" s="11" t="inlineStr">
        <is>
          <t>Receita líquida = preço × (1 − deduções) − fixo do gateway. Margem = (líquida − custo de IA) ÷ líquida.</t>
        </is>
      </c>
    </row>
    <row r="4">
      <c r="B4" s="6" t="inlineStr"/>
      <c r="C4" s="6" t="inlineStr">
        <is>
          <t>Free</t>
        </is>
      </c>
      <c r="D4" s="6" t="inlineStr">
        <is>
          <t>Plus</t>
        </is>
      </c>
      <c r="E4" s="6" t="inlineStr">
        <is>
          <t>Pro</t>
        </is>
      </c>
      <c r="F4" s="6" t="inlineStr">
        <is>
          <t>Nota</t>
        </is>
      </c>
    </row>
    <row r="5">
      <c r="B5" s="7" t="inlineStr">
        <is>
          <t>Preço mensal (R$)</t>
        </is>
      </c>
      <c r="C5" s="16" t="n">
        <v>0</v>
      </c>
      <c r="D5" s="16" t="n">
        <v>34.9</v>
      </c>
      <c r="E5" s="16" t="n">
        <v>69.90000000000001</v>
      </c>
      <c r="F5" s="11" t="inlineStr">
        <is>
          <t>PRICING_AUDIT</t>
        </is>
      </c>
    </row>
    <row r="6">
      <c r="B6" s="7" t="inlineStr">
        <is>
          <t>Preço anual (R$)</t>
        </is>
      </c>
      <c r="D6" s="16" t="n">
        <v>349</v>
      </c>
      <c r="E6" s="16" t="n">
        <v>699</v>
      </c>
      <c r="F6" s="11" t="inlineStr">
        <is>
          <t>PRICING_AUDIT: 10× o mensal</t>
        </is>
      </c>
    </row>
    <row r="7">
      <c r="B7" s="7" t="inlineStr">
        <is>
          <t>Anual: equivalente mensal (R$)</t>
        </is>
      </c>
      <c r="D7" s="10">
        <f>D6/12</f>
        <v/>
      </c>
      <c r="E7" s="10">
        <f>E6/12</f>
        <v/>
      </c>
      <c r="F7" s="11" t="inlineStr">
        <is>
          <t>Auditoria: R$ 29,08 / R$ 58,25</t>
        </is>
      </c>
    </row>
    <row r="8">
      <c r="B8" s="19" t="inlineStr">
        <is>
          <t>Receita líquida mensal (R$)</t>
        </is>
      </c>
      <c r="C8" s="28">
        <f>IF(C5=0,0,C5*(1-'Premissas'!$C$23)-'Premissas'!$C$9)</f>
        <v/>
      </c>
      <c r="D8" s="28">
        <f>IF(D5=0,0,D5*(1-'Premissas'!$C$23)-'Premissas'!$C$9)</f>
        <v/>
      </c>
      <c r="E8" s="28">
        <f>IF(E5=0,0,E5*(1-'Premissas'!$C$23)-'Premissas'!$C$9)</f>
        <v/>
      </c>
      <c r="F8" s="11" t="inlineStr">
        <is>
          <t>Depois de imposto, gateway (% + fixo + Billing) e reembolsos</t>
        </is>
      </c>
    </row>
    <row r="9">
      <c r="B9" s="7" t="inlineStr">
        <is>
          <t>Anual: receita líquida por mês (R$)</t>
        </is>
      </c>
      <c r="D9" s="10">
        <f>(D6*(1-'Premissas'!$C$23)-'Premissas'!$C$9)/12</f>
        <v/>
      </c>
      <c r="E9" s="10">
        <f>(E6*(1-'Premissas'!$C$23)-'Premissas'!$C$9)/12</f>
        <v/>
      </c>
      <c r="F9" s="11" t="inlineStr">
        <is>
          <t>Fixo do gateway cobrado uma vez por ano</t>
        </is>
      </c>
    </row>
    <row r="11">
      <c r="B11" s="5" t="inlineStr">
        <is>
          <t>Limites (o que o usuário vê)</t>
        </is>
      </c>
    </row>
    <row r="12">
      <c r="B12" s="7" t="inlineStr">
        <is>
          <t>Aulas no modo completo por mês</t>
        </is>
      </c>
      <c r="C12" s="17" t="inlineStr">
        <is>
          <t>1ª de cada trilha</t>
        </is>
      </c>
      <c r="D12" s="17" t="n">
        <v>40</v>
      </c>
      <c r="E12" s="17" t="n">
        <v>125</v>
      </c>
      <c r="F12" s="11" t="inlineStr">
        <is>
          <t>PRICING_AUDIT, limites dos planos</t>
        </is>
      </c>
    </row>
    <row r="13">
      <c r="B13" s="7" t="inlineStr">
        <is>
          <t>PDFs por mês</t>
        </is>
      </c>
      <c r="C13" s="17" t="n">
        <v>3</v>
      </c>
      <c r="D13" s="17" t="n">
        <v>30</v>
      </c>
      <c r="E13" s="17" t="n">
        <v>100</v>
      </c>
      <c r="F13" s="11" t="inlineStr">
        <is>
          <t>PRICING_AUDIT</t>
        </is>
      </c>
    </row>
    <row r="15">
      <c r="B15" s="5" t="inlineStr">
        <is>
          <t>Limites internos de uso justo</t>
        </is>
      </c>
    </row>
    <row r="16">
      <c r="B16" s="7" t="inlineStr">
        <is>
          <t>Soft (aviso + modo padrão): créditos</t>
        </is>
      </c>
      <c r="C16" s="21" t="n">
        <v>180</v>
      </c>
      <c r="D16" s="21" t="n">
        <v>4000</v>
      </c>
      <c r="E16" s="21" t="n">
        <v>12500</v>
      </c>
      <c r="F16" s="11" t="inlineStr">
        <is>
          <t>PRICING_AUDIT. 1 crédito = US$ 0,001 de custo de lista</t>
        </is>
      </c>
    </row>
    <row r="17">
      <c r="B17" s="7" t="inlineStr">
        <is>
          <t>Hard: créditos (Free)</t>
        </is>
      </c>
      <c r="C17" s="21" t="n">
        <v>270</v>
      </c>
      <c r="F17" s="11" t="inlineStr">
        <is>
          <t>PRICING_AUDIT</t>
        </is>
      </c>
    </row>
    <row r="18">
      <c r="B18" s="7" t="inlineStr">
        <is>
          <t>Hard: trocas por mês no total (Plus / Pro)</t>
        </is>
      </c>
      <c r="D18" s="21" t="n">
        <v>2000</v>
      </c>
      <c r="E18" s="21" t="n">
        <v>4000</v>
      </c>
      <c r="F18" s="11" t="inlineStr">
        <is>
          <t>PRICING_AUDIT</t>
        </is>
      </c>
    </row>
    <row r="19">
      <c r="B19" s="7" t="inlineStr">
        <is>
          <t>Trocas por dia</t>
        </is>
      </c>
      <c r="C19" s="21" t="n">
        <v>40</v>
      </c>
      <c r="D19" s="21" t="n">
        <v>150</v>
      </c>
      <c r="E19" s="21" t="n">
        <v>300</v>
      </c>
      <c r="F19" s="11" t="inlineStr">
        <is>
          <t>PRICING_AUDIT</t>
        </is>
      </c>
    </row>
    <row r="20">
      <c r="B20" s="7" t="inlineStr">
        <is>
          <t>Soft em R$ de custo de lista</t>
        </is>
      </c>
      <c r="C20" s="10">
        <f>C16*'Premissas'!$C$20*'Premissas'!$C$5</f>
        <v/>
      </c>
      <c r="D20" s="10">
        <f>D16*'Premissas'!$C$20*'Premissas'!$C$5</f>
        <v/>
      </c>
      <c r="E20" s="10">
        <f>E16*'Premissas'!$C$20*'Premissas'!$C$5</f>
        <v/>
      </c>
      <c r="F20" s="11" t="inlineStr">
        <is>
          <t>Free: auditoria pede até R$ 1,00 por Free ativado (alvo) e R$ 1,50 (teto duro)</t>
        </is>
      </c>
    </row>
    <row r="21">
      <c r="B21" s="7" t="inlineStr">
        <is>
          <t>Hard em R$ de custo de lista (Free)</t>
        </is>
      </c>
      <c r="C21" s="10">
        <f>C17*'Premissas'!$C$20*'Premissas'!$C$5</f>
        <v/>
      </c>
    </row>
    <row r="23">
      <c r="B23" s="5" t="inlineStr">
        <is>
          <t>Custo de IA e margem no uso esperado</t>
        </is>
      </c>
    </row>
    <row r="24">
      <c r="B24" s="7" t="inlineStr">
        <is>
          <t>Trocas esperadas por mês</t>
        </is>
      </c>
      <c r="C24" s="31">
        <f>'Perfis'!$C$5</f>
        <v/>
      </c>
      <c r="D24" s="31">
        <f>'Perfis'!$C$7</f>
        <v/>
      </c>
      <c r="E24" s="31">
        <f>'Perfis'!$C$8</f>
        <v/>
      </c>
      <c r="F24" s="11" t="inlineStr">
        <is>
          <t>Premissa: Free = 'Free ativado', Plus = 'Normal', Pro = 'Power' (aba Perfis). A auditoria não fixa o uso esperado por plano; troque as referências se quiser outro perfil.</t>
        </is>
      </c>
    </row>
    <row r="25">
      <c r="B25" s="7" t="inlineStr">
        <is>
          <t>Custo de IA, conservador (R$)</t>
        </is>
      </c>
      <c r="C25" s="10">
        <f>C24*'Custo por operação'!$C$22/100*'Premissas'!$C$5</f>
        <v/>
      </c>
      <c r="D25" s="10">
        <f>D24*'Custo por operação'!$C$22/100*'Premissas'!$C$5</f>
        <v/>
      </c>
      <c r="E25" s="10">
        <f>E24*'Custo por operação'!$C$22/100*'Premissas'!$C$5</f>
        <v/>
      </c>
    </row>
    <row r="26">
      <c r="B26" s="7" t="inlineStr">
        <is>
          <t>Custo de IA, otimizado (R$)</t>
        </is>
      </c>
      <c r="C26" s="10">
        <f>C24*'Custo por operação'!$D$22/100*'Premissas'!$C$5</f>
        <v/>
      </c>
      <c r="D26" s="10">
        <f>D24*'Custo por operação'!$D$22/100*'Premissas'!$C$5</f>
        <v/>
      </c>
      <c r="E26" s="10">
        <f>E24*'Custo por operação'!$D$22/100*'Premissas'!$C$5</f>
        <v/>
      </c>
    </row>
    <row r="27">
      <c r="B27" s="19" t="inlineStr">
        <is>
          <t>Margem bruta, conservador</t>
        </is>
      </c>
      <c r="D27" s="32">
        <f>IF(D8=0,0,(D8-D25)/D8)</f>
        <v/>
      </c>
      <c r="E27" s="32">
        <f>IF(E8=0,0,(E8-E25)/E8)</f>
        <v/>
      </c>
      <c r="F27" s="11" t="inlineStr">
        <is>
          <t>Auditoria: 61–62% no conservador</t>
        </is>
      </c>
    </row>
    <row r="28">
      <c r="B28" s="19" t="inlineStr">
        <is>
          <t>Margem bruta, otimizado</t>
        </is>
      </c>
      <c r="D28" s="32">
        <f>IF(D8=0,0,(D8-D26)/D8)</f>
        <v/>
      </c>
      <c r="E28" s="32">
        <f>IF(E8=0,0,(E8-E26)/E8)</f>
        <v/>
      </c>
      <c r="F28" s="11" t="inlineStr">
        <is>
          <t>Auditoria: 77–78% no otimizado</t>
        </is>
      </c>
    </row>
    <row r="29">
      <c r="B29" s="7" t="inlineStr">
        <is>
          <t>Margem bruta no mix de pagantes, conservador</t>
        </is>
      </c>
      <c r="D29" s="32">
        <f>(('Premissas'!$C$17*D8+'Premissas'!$C$18*E8)-('Premissas'!$C$17*D25+'Premissas'!$C$18*E25))/('Premissas'!$C$17*D8+'Premissas'!$C$18*E8)</f>
        <v/>
      </c>
      <c r="F29" s="11" t="inlineStr">
        <is>
          <t>Ponderada pelo mix Plus/Pro das Premissas (um número só, na coluna Plus)</t>
        </is>
      </c>
    </row>
    <row r="30">
      <c r="B30" s="7" t="inlineStr">
        <is>
          <t>Margem bruta no mix de pagantes, otimizado</t>
        </is>
      </c>
      <c r="D30" s="32">
        <f>(('Premissas'!$C$17*D8+'Premissas'!$C$18*E8)-('Premissas'!$C$17*D26+'Premissas'!$C$18*E26))/('Premissas'!$C$17*D8+'Premissas'!$C$18*E8)</f>
        <v/>
      </c>
    </row>
    <row r="32">
      <c r="B32" s="5" t="inlineStr">
        <is>
          <t>Custo de IA e margem no teto de uso justo</t>
        </is>
      </c>
    </row>
    <row r="33">
      <c r="B33" s="7" t="inlineStr">
        <is>
          <t>Custo de IA no teto, conservador (R$)</t>
        </is>
      </c>
      <c r="C33" s="10">
        <f>C17*'Premissas'!$C$20*'Premissas'!$C$5</f>
        <v/>
      </c>
      <c r="D33" s="10">
        <f>(D18*'Custo por operação'!$C$22+D13*'Custo por operação'!$C$44)/100*'Premissas'!$C$5</f>
        <v/>
      </c>
      <c r="E33" s="10">
        <f>(E18*'Custo por operação'!$C$22+E13*'Custo por operação'!$C$44)/100*'Premissas'!$C$5</f>
        <v/>
      </c>
      <c r="F33" s="11" t="inlineStr">
        <is>
          <t>Free: teto hard em créditos. Plus/Pro: trocas do teto hard × custo da troca + PDFs do limite</t>
        </is>
      </c>
    </row>
    <row r="34">
      <c r="B34" s="7" t="inlineStr">
        <is>
          <t>Custo de IA no teto, otimizado (R$)</t>
        </is>
      </c>
      <c r="C34" s="10">
        <f>C17*'Premissas'!$C$20*'Premissas'!$C$5</f>
        <v/>
      </c>
      <c r="D34" s="10">
        <f>(D18*'Custo por operação'!$D$22+D13*'Custo por operação'!$C$44)/100*'Premissas'!$C$5</f>
        <v/>
      </c>
      <c r="E34" s="10">
        <f>(E18*'Custo por operação'!$D$22+E13*'Custo por operação'!$C$44)/100*'Premissas'!$C$5</f>
        <v/>
      </c>
    </row>
    <row r="35">
      <c r="B35" s="7" t="inlineStr">
        <is>
          <t>Auditoria: 'Extreme com o uso justo' (R$)</t>
        </is>
      </c>
      <c r="D35" s="29" t="n">
        <v>28.71</v>
      </c>
      <c r="E35" s="29" t="n">
        <v>79.81999999999999</v>
      </c>
      <c r="F35" s="11" t="inlineStr">
        <is>
          <t>A auditoria não mostra como chegou a esses dois valores; não foram reproduzidos a partir dos limites.</t>
        </is>
      </c>
    </row>
    <row r="36">
      <c r="B36" s="7" t="inlineStr">
        <is>
          <t>Margem no teto, conservador</t>
        </is>
      </c>
      <c r="D36" s="9">
        <f>(D8-D33)/D8</f>
        <v/>
      </c>
      <c r="E36" s="9">
        <f>(E8-E33)/E8</f>
        <v/>
      </c>
    </row>
    <row r="37">
      <c r="B37" s="7" t="inlineStr">
        <is>
          <t>Margem no teto, otimizado</t>
        </is>
      </c>
      <c r="D37" s="9">
        <f>(D8-D34)/D8</f>
        <v/>
      </c>
      <c r="E37" s="9">
        <f>(E8-E34)/E8</f>
        <v/>
      </c>
    </row>
    <row r="38">
      <c r="B38" s="7" t="inlineStr">
        <is>
          <t>Aulas completas do limite × custo da aula, conservador (R$)</t>
        </is>
      </c>
      <c r="D38" s="10">
        <f>D12*'Custo por operação'!$D$55/100*'Premissas'!$C$5</f>
        <v/>
      </c>
      <c r="E38" s="10">
        <f>E12*'Custo por operação'!$D$55/100*'Premissas'!$C$5</f>
        <v/>
      </c>
      <c r="F38" s="11" t="inlineStr">
        <is>
          <t>Informativo: o que custam as aulas no modo completo prometidas pelo plano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Tetos de CAC</t>
        </is>
      </c>
    </row>
    <row r="2">
      <c r="A2" s="11" t="inlineStr">
        <is>
          <t>LTV medido em lucro bruto: receita líquida × margem ÷ churn.</t>
        </is>
      </c>
    </row>
    <row r="4">
      <c r="B4" s="6" t="inlineStr">
        <is>
          <t>Métrica</t>
        </is>
      </c>
      <c r="C4" s="6" t="inlineStr">
        <is>
          <t>Valor</t>
        </is>
      </c>
      <c r="D4" s="6" t="inlineStr">
        <is>
          <t>Auditoria</t>
        </is>
      </c>
      <c r="E4" s="6" t="inlineStr">
        <is>
          <t>Nota</t>
        </is>
      </c>
    </row>
    <row r="5">
      <c r="B5" s="7" t="inlineStr">
        <is>
          <t>Receita líquida média por pagante (R$/mês)</t>
        </is>
      </c>
      <c r="C5" s="28">
        <f>'Premissas'!$C$17*'Planos'!$D$8+'Premissas'!$C$18*'Planos'!$E$8</f>
        <v/>
      </c>
      <c r="D5" s="29" t="n">
        <v>36.19</v>
      </c>
      <c r="E5" s="11" t="inlineStr">
        <is>
          <t>Mix 80% Plus / 20% Pro, já líquida</t>
        </is>
      </c>
    </row>
    <row r="6">
      <c r="B6" s="7" t="inlineStr">
        <is>
          <t>Margem bruta do caso base</t>
        </is>
      </c>
      <c r="C6" s="9">
        <f>'Premissas'!$C$16</f>
        <v/>
      </c>
      <c r="D6" s="33" t="n">
        <v>0.7</v>
      </c>
      <c r="E6" s="11" t="inlineStr">
        <is>
          <t>Premissas</t>
        </is>
      </c>
    </row>
    <row r="7">
      <c r="B7" s="7" t="inlineStr">
        <is>
          <t>Churn mensal</t>
        </is>
      </c>
      <c r="C7" s="9">
        <f>'Premissas'!$C$12</f>
        <v/>
      </c>
      <c r="D7" s="33" t="n">
        <v>0.1</v>
      </c>
      <c r="E7" s="11" t="inlineStr">
        <is>
          <t>Premissas</t>
        </is>
      </c>
    </row>
    <row r="8">
      <c r="B8" s="7" t="inlineStr">
        <is>
          <t>LTV em lucro bruto (R$)</t>
        </is>
      </c>
      <c r="C8" s="28">
        <f>C5*C6/C7</f>
        <v/>
      </c>
      <c r="D8" s="29" t="n">
        <v>253</v>
      </c>
      <c r="E8" s="11" t="inlineStr">
        <is>
          <t>Igual ao CAC de break-even por pagante</t>
        </is>
      </c>
    </row>
    <row r="9">
      <c r="B9" s="7" t="inlineStr">
        <is>
          <t>CAC-alvo (R$)</t>
        </is>
      </c>
      <c r="C9" s="28">
        <f>C8/'Premissas'!$C$14</f>
        <v/>
      </c>
      <c r="D9" s="29" t="n">
        <v>84</v>
      </c>
      <c r="E9" s="11" t="inlineStr">
        <is>
          <t>LTV ÷ LTV:CAC</t>
        </is>
      </c>
    </row>
    <row r="10">
      <c r="B10" s="7" t="inlineStr">
        <is>
          <t>CAC com payback de N meses (R$)</t>
        </is>
      </c>
      <c r="C10" s="10">
        <f>C5*C6*'Premissas'!$C$15</f>
        <v/>
      </c>
      <c r="D10" s="29" t="n">
        <v>76</v>
      </c>
      <c r="E10" s="11" t="inlineStr">
        <is>
          <t>receita líquida × margem × meses de payback</t>
        </is>
      </c>
    </row>
    <row r="11">
      <c r="B11" s="7" t="inlineStr">
        <is>
          <t>Custo máximo por cadastro (R$)</t>
        </is>
      </c>
      <c r="C11" s="28">
        <f>C9*'Premissas'!$C$13</f>
        <v/>
      </c>
      <c r="D11" s="29" t="n">
        <v>2.5</v>
      </c>
      <c r="E11" s="11" t="inlineStr">
        <is>
          <t>CAC-alvo × conversão. Instável até haver dados reais de conversão.</t>
        </is>
      </c>
    </row>
    <row r="12">
      <c r="B12" s="7" t="inlineStr">
        <is>
          <t>Custo máximo por cadastro, critério de payback (R$)</t>
        </is>
      </c>
      <c r="C12" s="10">
        <f>C10*'Premissas'!$C$13</f>
        <v/>
      </c>
    </row>
    <row r="14">
      <c r="B14" s="7" t="inlineStr">
        <is>
          <t>Margem calculada em Planos, conservador (Plus / Pro)</t>
        </is>
      </c>
      <c r="C14" s="9">
        <f>'Planos'!$D$27</f>
        <v/>
      </c>
      <c r="D14" s="9">
        <f>'Planos'!$E$27</f>
        <v/>
      </c>
      <c r="E14" s="11" t="inlineStr">
        <is>
          <t>Referência: a aba usa a margem do caso base das Premissas, não esta</t>
        </is>
      </c>
    </row>
    <row r="15">
      <c r="B15" s="7" t="inlineStr">
        <is>
          <t>Margem calculada em Planos, otimizado (Plus / Pro)</t>
        </is>
      </c>
      <c r="C15" s="9">
        <f>'Planos'!$D$28</f>
        <v/>
      </c>
      <c r="D15" s="9">
        <f>'Planos'!$E$28</f>
        <v/>
      </c>
    </row>
    <row r="16">
      <c r="B16" s="7" t="inlineStr">
        <is>
          <t>Margem no mix de pagantes (conservador / otimizado)</t>
        </is>
      </c>
      <c r="C16" s="9">
        <f>'Planos'!$D$29</f>
        <v/>
      </c>
      <c r="D16" s="9">
        <f>'Planos'!$D$30</f>
        <v/>
      </c>
      <c r="E16" s="11" t="inlineStr">
        <is>
          <t>Auditoria: 61–62% / 77–78%</t>
        </is>
      </c>
    </row>
    <row r="18">
      <c r="B18" s="5" t="inlineStr">
        <is>
          <t>Sensibilidade do LTV (R$): margem bruta × churn mensal</t>
        </is>
      </c>
    </row>
    <row r="19">
      <c r="B19" s="19" t="inlineStr">
        <is>
          <t>Margem \ churn</t>
        </is>
      </c>
      <c r="C19" s="14" t="n">
        <v>0.07000000000000001</v>
      </c>
      <c r="D19" s="14" t="n">
        <v>0.1</v>
      </c>
      <c r="E19" s="14" t="n">
        <v>0.15</v>
      </c>
    </row>
    <row r="20">
      <c r="B20" s="14" t="n">
        <v>0.62</v>
      </c>
      <c r="C20" s="10">
        <f>$C$5*$B20/C$19</f>
        <v/>
      </c>
      <c r="D20" s="10">
        <f>$C$5*$B20/D$19</f>
        <v/>
      </c>
      <c r="E20" s="10">
        <f>$C$5*$B20/E$19</f>
        <v/>
      </c>
    </row>
    <row r="21">
      <c r="B21" s="14" t="n">
        <v>0.7</v>
      </c>
      <c r="C21" s="10">
        <f>$C$5*$B21/C$19</f>
        <v/>
      </c>
      <c r="D21" s="10">
        <f>$C$5*$B21/D$19</f>
        <v/>
      </c>
      <c r="E21" s="10">
        <f>$C$5*$B21/E$19</f>
        <v/>
      </c>
    </row>
    <row r="22">
      <c r="B22" s="14" t="n">
        <v>0.76</v>
      </c>
      <c r="C22" s="10">
        <f>$C$5*$B22/C$19</f>
        <v/>
      </c>
      <c r="D22" s="10">
        <f>$C$5*$B22/D$19</f>
        <v/>
      </c>
      <c r="E22" s="10">
        <f>$C$5*$B22/E$19</f>
        <v/>
      </c>
    </row>
    <row r="23">
      <c r="B23" s="11" t="inlineStr">
        <is>
          <t>Auditoria, para comparação:</t>
        </is>
      </c>
    </row>
    <row r="24">
      <c r="B24" s="33" t="n">
        <v>0.62</v>
      </c>
      <c r="C24" s="29" t="n">
        <v>321</v>
      </c>
      <c r="D24" s="29" t="n">
        <v>224</v>
      </c>
      <c r="E24" s="29" t="n">
        <v>150</v>
      </c>
    </row>
    <row r="25">
      <c r="B25" s="33" t="n">
        <v>0.7</v>
      </c>
      <c r="C25" s="29" t="n">
        <v>362</v>
      </c>
      <c r="D25" s="29" t="n">
        <v>253</v>
      </c>
      <c r="E25" s="29" t="n">
        <v>169</v>
      </c>
    </row>
    <row r="26">
      <c r="B26" s="33" t="n">
        <v>0.76</v>
      </c>
      <c r="C26" s="29" t="n">
        <v>393</v>
      </c>
      <c r="D26" s="29" t="n">
        <v>275</v>
      </c>
      <c r="E26" s="29" t="n">
        <v>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18" customWidth="1" min="4" max="4"/>
    <col width="80" customWidth="1" min="5" max="5"/>
  </cols>
  <sheetData>
    <row r="1">
      <c r="A1" s="1" t="inlineStr">
        <is>
          <t>Queima do Free: os pagantes cobrem o plano grátis?</t>
        </is>
      </c>
    </row>
    <row r="2">
      <c r="A2" s="11" t="inlineStr">
        <is>
          <t>Cenário da auditoria (riscos, item 1): 10 mil cadastros, 3% de conversão.</t>
        </is>
      </c>
    </row>
    <row r="4">
      <c r="B4" s="6" t="inlineStr">
        <is>
          <t>Métrica</t>
        </is>
      </c>
      <c r="C4" s="6" t="inlineStr">
        <is>
          <t>Conservador</t>
        </is>
      </c>
      <c r="D4" s="6" t="inlineStr">
        <is>
          <t>Otimizado</t>
        </is>
      </c>
      <c r="E4" s="6" t="inlineStr">
        <is>
          <t>Nota</t>
        </is>
      </c>
    </row>
    <row r="5">
      <c r="B5" s="7" t="inlineStr">
        <is>
          <t>Cadastros por mês</t>
        </is>
      </c>
      <c r="C5" s="21" t="n">
        <v>10000</v>
      </c>
      <c r="E5" s="11" t="inlineStr">
        <is>
          <t>PRICING_AUDIT, risco 1</t>
        </is>
      </c>
    </row>
    <row r="6">
      <c r="B6" s="7" t="inlineStr">
        <is>
          <t>Ativação (% dos cadastros que usam o Mino)</t>
        </is>
      </c>
      <c r="C6" s="14" t="n">
        <v>0.4</v>
      </c>
      <c r="E6" s="11" t="inlineStr">
        <is>
          <t>PREMISSA NÃO AUDITADA. Na amostra de QA 21 de 23 contas chamaram IA; sem dado de mercado. Com 40%, o cenário conservador reproduz a frase da auditoria: o Free consome quase toda a contribuição.</t>
        </is>
      </c>
    </row>
    <row r="7">
      <c r="B7" s="7" t="inlineStr">
        <is>
          <t>Conversão cadastro → pagante</t>
        </is>
      </c>
      <c r="C7" s="9">
        <f>'Premissas'!$C$13</f>
        <v/>
      </c>
      <c r="E7" s="11" t="inlineStr">
        <is>
          <t>Premissas</t>
        </is>
      </c>
    </row>
    <row r="8">
      <c r="B8" s="7" t="inlineStr">
        <is>
          <t>Pagantes</t>
        </is>
      </c>
      <c r="C8" s="31">
        <f>C5*C7</f>
        <v/>
      </c>
    </row>
    <row r="9">
      <c r="B9" s="7" t="inlineStr">
        <is>
          <t>Free ativados</t>
        </is>
      </c>
      <c r="C9" s="31">
        <f>C5*C6</f>
        <v/>
      </c>
    </row>
    <row r="10">
      <c r="B10" s="7" t="inlineStr">
        <is>
          <t>Custo de IA por Free ativado (R$/mês)</t>
        </is>
      </c>
      <c r="C10" s="10">
        <f>'Perfis'!$F$5</f>
        <v/>
      </c>
      <c r="D10" s="10">
        <f>'Perfis'!$G$5</f>
        <v/>
      </c>
      <c r="E10" s="11" t="inlineStr">
        <is>
          <t>Aba Perfis. Auditoria: alvo R$ 1,00, teto duro R$ 1,50</t>
        </is>
      </c>
    </row>
    <row r="11">
      <c r="B11" s="7" t="inlineStr">
        <is>
          <t>Queima do Free (R$/mês)</t>
        </is>
      </c>
      <c r="C11" s="28">
        <f>C9*C10</f>
        <v/>
      </c>
      <c r="D11" s="28">
        <f>C9*D10</f>
        <v/>
      </c>
    </row>
    <row r="12">
      <c r="B12" s="7" t="inlineStr">
        <is>
          <t>Receita líquida por pagante (R$/mês)</t>
        </is>
      </c>
      <c r="C12" s="10">
        <f>'CAC'!$C$5</f>
        <v/>
      </c>
      <c r="D12" s="10">
        <f>'CAC'!$C$5</f>
        <v/>
      </c>
      <c r="E12" s="11" t="inlineStr">
        <is>
          <t>Aba CAC</t>
        </is>
      </c>
    </row>
    <row r="13">
      <c r="B13" s="7" t="inlineStr">
        <is>
          <t>Custo de IA por pagante no uso esperado (R$/mês)</t>
        </is>
      </c>
      <c r="C13" s="10">
        <f>'Premissas'!$C$17*'Planos'!$D$25+'Premissas'!$C$18*'Planos'!$E$25</f>
        <v/>
      </c>
      <c r="D13" s="10">
        <f>'Premissas'!$C$17*'Planos'!$D$26+'Premissas'!$C$18*'Planos'!$E$26</f>
        <v/>
      </c>
      <c r="E13" s="11" t="inlineStr">
        <is>
          <t>Mix Plus/Pro × custo esperado da aba Planos</t>
        </is>
      </c>
    </row>
    <row r="14">
      <c r="B14" s="7" t="inlineStr">
        <is>
          <t>Contribuição dos pagantes (R$/mês)</t>
        </is>
      </c>
      <c r="C14" s="28">
        <f>C8*(C12-C13)</f>
        <v/>
      </c>
      <c r="D14" s="28">
        <f>C8*(D12-D13)</f>
        <v/>
      </c>
      <c r="E14" s="11" t="inlineStr">
        <is>
          <t>pagantes × (receita líquida − custo de IA)</t>
        </is>
      </c>
    </row>
    <row r="15">
      <c r="B15" s="7" t="inlineStr">
        <is>
          <t>Sobra depois do Free (R$/mês)</t>
        </is>
      </c>
      <c r="C15" s="28">
        <f>C14-C11</f>
        <v/>
      </c>
      <c r="D15" s="28">
        <f>D14-D11</f>
        <v/>
      </c>
      <c r="E15" s="11" t="inlineStr">
        <is>
          <t>Negativo = o Free consome mais do que os pagantes deixam</t>
        </is>
      </c>
    </row>
    <row r="16">
      <c r="B16" s="7" t="inlineStr">
        <is>
          <t>Free como % da contribuição</t>
        </is>
      </c>
      <c r="C16" s="32">
        <f>C11/C14</f>
        <v/>
      </c>
      <c r="D16" s="32">
        <f>D11/D14</f>
        <v/>
      </c>
    </row>
    <row r="17">
      <c r="B17" s="7" t="inlineStr">
        <is>
          <t>Ativação máxima que o Free ainda fecha</t>
        </is>
      </c>
      <c r="C17" s="9">
        <f>C14/(C5*C10)</f>
        <v/>
      </c>
      <c r="D17" s="9">
        <f>D14/(C5*D10)</f>
        <v/>
      </c>
      <c r="E17" s="11" t="inlineStr">
        <is>
          <t>Acima disso, a conta não fecha neste cenário</t>
        </is>
      </c>
    </row>
    <row r="18">
      <c r="B18" s="7" t="inlineStr">
        <is>
          <t>Custo por Free ativado que zera a sobra (R$)</t>
        </is>
      </c>
      <c r="C18" s="10">
        <f>C14/C9</f>
        <v/>
      </c>
      <c r="D18" s="10">
        <f>D14/C9</f>
        <v/>
      </c>
      <c r="E18" s="11" t="inlineStr">
        <is>
          <t>Compare com o alvo de R$ 1,00 e o teto de R$ 1,50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2026-10-19T20:22:08Z</dcterms:created>
  <dcterms:modified xsi:type="dcterms:W3CDTF">2026-10-19T20:22:08Z</dcterms:modified>
</cp:coreProperties>
</file>